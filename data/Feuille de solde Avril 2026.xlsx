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02587C1A-407D-4693-959B-3C7DB3423B72}" xr6:coauthVersionLast="47" xr6:coauthVersionMax="47" xr10:uidLastSave="{00000000-0000-0000-0000-000000000000}"/>
  <bookViews>
    <workbookView xWindow="28680" yWindow="-120" windowWidth="29040" windowHeight="15720" tabRatio="597" firstSheet="6" activeTab="29" xr2:uid="{00000000-000D-0000-FFFF-FFFF00000000}"/>
  </bookViews>
  <sheets>
    <sheet name="empty sheet" sheetId="1" r:id="rId1"/>
    <sheet name="1" sheetId="68" r:id="rId2"/>
    <sheet name="2" sheetId="33" r:id="rId3"/>
    <sheet name="3" sheetId="27" r:id="rId4"/>
    <sheet name="4" sheetId="28" r:id="rId5"/>
    <sheet name="5" sheetId="34" r:id="rId6"/>
    <sheet name="6" sheetId="35" r:id="rId7"/>
    <sheet name="7" sheetId="37" r:id="rId8"/>
    <sheet name="8" sheetId="38" r:id="rId9"/>
    <sheet name="9" sheetId="69" r:id="rId10"/>
    <sheet name="11" sheetId="41" r:id="rId11"/>
    <sheet name="10" sheetId="40" r:id="rId12"/>
    <sheet name="13" sheetId="43" r:id="rId13"/>
    <sheet name="14" sheetId="44" r:id="rId14"/>
    <sheet name="15" sheetId="46" r:id="rId15"/>
    <sheet name="16" sheetId="70" r:id="rId16"/>
    <sheet name="17" sheetId="47" r:id="rId17"/>
    <sheet name="18" sheetId="48" r:id="rId18"/>
    <sheet name="19" sheetId="49" r:id="rId19"/>
    <sheet name="20" sheetId="50" r:id="rId20"/>
    <sheet name="21" sheetId="51" r:id="rId21"/>
    <sheet name="22" sheetId="71" r:id="rId22"/>
    <sheet name="23" sheetId="53" r:id="rId23"/>
    <sheet name="24" sheetId="54" r:id="rId24"/>
    <sheet name="25" sheetId="55" r:id="rId25"/>
    <sheet name="26" sheetId="56" r:id="rId26"/>
    <sheet name="27" sheetId="57" r:id="rId27"/>
    <sheet name="28" sheetId="58" r:id="rId28"/>
    <sheet name="29" sheetId="72" r:id="rId29"/>
    <sheet name="30" sheetId="66" r:id="rId30"/>
    <sheet name="31" sheetId="67" r:id="rId31"/>
    <sheet name="TOTAL" sheetId="62" r:id="rId32"/>
    <sheet name="TOTAL 2" sheetId="64" r:id="rId33"/>
  </sheets>
  <externalReferences>
    <externalReference r:id="rId34"/>
    <externalReference r:id="rId3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0" i="58" l="1"/>
  <c r="E51" i="58"/>
  <c r="E52" i="58"/>
  <c r="E53" i="58"/>
  <c r="E54" i="58"/>
  <c r="E55" i="58"/>
  <c r="E56" i="58"/>
  <c r="E57" i="58"/>
  <c r="E49" i="58"/>
  <c r="L15" i="66"/>
  <c r="L16" i="66" s="1"/>
  <c r="E99" i="72"/>
  <c r="E98" i="72"/>
  <c r="E97" i="72"/>
  <c r="L15" i="72"/>
  <c r="L16" i="72" s="1"/>
  <c r="G15" i="72"/>
  <c r="E15" i="72"/>
  <c r="C14" i="72"/>
  <c r="K7" i="72"/>
  <c r="L15" i="70"/>
  <c r="L15" i="53"/>
  <c r="L16" i="53" s="1"/>
  <c r="F27" i="64" s="1"/>
  <c r="E87" i="71"/>
  <c r="E86" i="71"/>
  <c r="E85" i="71"/>
  <c r="L15" i="71"/>
  <c r="L16" i="71" s="1"/>
  <c r="G15" i="71"/>
  <c r="E15" i="71"/>
  <c r="C14" i="71"/>
  <c r="K7" i="71"/>
  <c r="G22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G7" i="62"/>
  <c r="G6" i="62"/>
  <c r="G5" i="62"/>
  <c r="G4" i="62"/>
  <c r="G3" i="62"/>
  <c r="L15" i="46"/>
  <c r="L16" i="46" s="1"/>
  <c r="F20" i="64" s="1"/>
  <c r="L16" i="68"/>
  <c r="L15" i="33"/>
  <c r="L16" i="33" s="1"/>
  <c r="L15" i="27"/>
  <c r="L16" i="27" s="1"/>
  <c r="L16" i="28"/>
  <c r="L15" i="28"/>
  <c r="L15" i="34"/>
  <c r="L16" i="34" s="1"/>
  <c r="L15" i="35"/>
  <c r="L16" i="35" s="1"/>
  <c r="L15" i="37"/>
  <c r="L16" i="37" s="1"/>
  <c r="L16" i="38"/>
  <c r="F13" i="64" s="1"/>
  <c r="L15" i="38"/>
  <c r="L15" i="69"/>
  <c r="L16" i="69" s="1"/>
  <c r="G15" i="69"/>
  <c r="L15" i="40"/>
  <c r="L16" i="40" s="1"/>
  <c r="L15" i="41"/>
  <c r="L16" i="41" s="1"/>
  <c r="L15" i="43"/>
  <c r="L16" i="43" s="1"/>
  <c r="L19" i="44"/>
  <c r="L18" i="44"/>
  <c r="L16" i="70"/>
  <c r="L15" i="47"/>
  <c r="L16" i="47" s="1"/>
  <c r="L15" i="48"/>
  <c r="L16" i="48" s="1"/>
  <c r="L16" i="49"/>
  <c r="L15" i="49"/>
  <c r="L16" i="50"/>
  <c r="L17" i="50" s="1"/>
  <c r="L18" i="51"/>
  <c r="L19" i="51" s="1"/>
  <c r="F25" i="64" s="1"/>
  <c r="L15" i="54"/>
  <c r="L16" i="54" s="1"/>
  <c r="L15" i="55"/>
  <c r="L16" i="55" s="1"/>
  <c r="L15" i="56"/>
  <c r="L16" i="56" s="1"/>
  <c r="L15" i="57"/>
  <c r="L16" i="57" s="1"/>
  <c r="L15" i="58"/>
  <c r="L16" i="58" s="1"/>
  <c r="L15" i="67"/>
  <c r="L16" i="67" s="1"/>
  <c r="G30" i="62"/>
  <c r="G29" i="62"/>
  <c r="G28" i="62"/>
  <c r="G27" i="62"/>
  <c r="G26" i="62"/>
  <c r="G25" i="62"/>
  <c r="G24" i="62"/>
  <c r="G23" i="62"/>
  <c r="L15" i="68"/>
  <c r="L16" i="1"/>
  <c r="E156" i="70"/>
  <c r="E155" i="70"/>
  <c r="E154" i="70"/>
  <c r="G15" i="70"/>
  <c r="E15" i="70"/>
  <c r="C14" i="70"/>
  <c r="K7" i="70"/>
  <c r="E92" i="69"/>
  <c r="E91" i="69"/>
  <c r="E90" i="69"/>
  <c r="E15" i="69"/>
  <c r="C14" i="69"/>
  <c r="K7" i="69"/>
  <c r="E108" i="33"/>
  <c r="E107" i="33"/>
  <c r="E106" i="33"/>
  <c r="G15" i="33"/>
  <c r="E15" i="33"/>
  <c r="C14" i="33"/>
  <c r="K7" i="33"/>
  <c r="E84" i="68"/>
  <c r="E83" i="68"/>
  <c r="E82" i="68"/>
  <c r="G15" i="68"/>
  <c r="K6" i="68" s="1"/>
  <c r="E15" i="68"/>
  <c r="C14" i="68"/>
  <c r="K7" i="68"/>
  <c r="C15" i="64"/>
  <c r="K4" i="72" l="1"/>
  <c r="K5" i="72"/>
  <c r="K6" i="72"/>
  <c r="K6" i="71"/>
  <c r="K5" i="71"/>
  <c r="K4" i="71"/>
  <c r="K4" i="70"/>
  <c r="K6" i="70"/>
  <c r="K5" i="70"/>
  <c r="K5" i="69"/>
  <c r="K4" i="69"/>
  <c r="K5" i="33"/>
  <c r="K4" i="33"/>
  <c r="K6" i="33"/>
  <c r="K4" i="68"/>
  <c r="K5" i="68"/>
  <c r="E82" i="67"/>
  <c r="E81" i="67"/>
  <c r="E80" i="67"/>
  <c r="G15" i="67"/>
  <c r="E15" i="67"/>
  <c r="K5" i="67" s="1"/>
  <c r="C14" i="67"/>
  <c r="K4" i="67" s="1"/>
  <c r="K7" i="67"/>
  <c r="K6" i="67"/>
  <c r="E89" i="66"/>
  <c r="E88" i="66"/>
  <c r="E87" i="66"/>
  <c r="G15" i="66"/>
  <c r="E15" i="66"/>
  <c r="C14" i="66"/>
  <c r="K7" i="66"/>
  <c r="K6" i="66"/>
  <c r="B10" i="62"/>
  <c r="K7" i="38"/>
  <c r="K5" i="66" l="1"/>
  <c r="K4" i="66"/>
  <c r="E232" i="58"/>
  <c r="E231" i="58"/>
  <c r="E230" i="58"/>
  <c r="G15" i="58"/>
  <c r="E15" i="58"/>
  <c r="C14" i="58"/>
  <c r="K7" i="58"/>
  <c r="E96" i="57"/>
  <c r="E95" i="57"/>
  <c r="E94" i="57"/>
  <c r="G15" i="57"/>
  <c r="E15" i="57"/>
  <c r="C14" i="57"/>
  <c r="K7" i="57"/>
  <c r="E82" i="56"/>
  <c r="K6" i="56" s="1"/>
  <c r="E81" i="56"/>
  <c r="E80" i="56"/>
  <c r="G15" i="56"/>
  <c r="E15" i="56"/>
  <c r="C14" i="56"/>
  <c r="K7" i="56"/>
  <c r="K5" i="56"/>
  <c r="K4" i="56"/>
  <c r="E82" i="55"/>
  <c r="E81" i="55"/>
  <c r="E80" i="55"/>
  <c r="G15" i="55"/>
  <c r="E15" i="55"/>
  <c r="K5" i="55" s="1"/>
  <c r="C14" i="55"/>
  <c r="K7" i="55"/>
  <c r="E99" i="54"/>
  <c r="E98" i="54"/>
  <c r="E97" i="54"/>
  <c r="G15" i="54"/>
  <c r="E15" i="54"/>
  <c r="C14" i="54"/>
  <c r="K7" i="54"/>
  <c r="E102" i="53"/>
  <c r="E101" i="53"/>
  <c r="E100" i="53"/>
  <c r="G15" i="53"/>
  <c r="E15" i="53"/>
  <c r="C14" i="53"/>
  <c r="K7" i="53"/>
  <c r="E108" i="51"/>
  <c r="E107" i="51"/>
  <c r="E106" i="51"/>
  <c r="G18" i="51"/>
  <c r="E18" i="51"/>
  <c r="C17" i="51"/>
  <c r="K7" i="51"/>
  <c r="E209" i="50"/>
  <c r="E208" i="50"/>
  <c r="E207" i="50"/>
  <c r="G16" i="50"/>
  <c r="E16" i="50"/>
  <c r="C15" i="50"/>
  <c r="K7" i="50"/>
  <c r="E82" i="49"/>
  <c r="K6" i="49" s="1"/>
  <c r="E81" i="49"/>
  <c r="E80" i="49"/>
  <c r="G15" i="49"/>
  <c r="E15" i="49"/>
  <c r="C14" i="49"/>
  <c r="K7" i="49"/>
  <c r="K5" i="49"/>
  <c r="K4" i="49"/>
  <c r="E82" i="48"/>
  <c r="E81" i="48"/>
  <c r="E80" i="48"/>
  <c r="G15" i="48"/>
  <c r="K6" i="48" s="1"/>
  <c r="E15" i="48"/>
  <c r="C14" i="48"/>
  <c r="K4" i="48" s="1"/>
  <c r="K7" i="48"/>
  <c r="E91" i="47"/>
  <c r="E90" i="47"/>
  <c r="E89" i="47"/>
  <c r="G15" i="47"/>
  <c r="K6" i="47" s="1"/>
  <c r="E15" i="47"/>
  <c r="C14" i="47"/>
  <c r="K7" i="47"/>
  <c r="E289" i="46"/>
  <c r="E288" i="46"/>
  <c r="E287" i="46"/>
  <c r="G15" i="46"/>
  <c r="E15" i="46"/>
  <c r="C14" i="46"/>
  <c r="K7" i="46"/>
  <c r="E200" i="44"/>
  <c r="E199" i="44"/>
  <c r="E198" i="44"/>
  <c r="G18" i="44"/>
  <c r="E18" i="44"/>
  <c r="C17" i="44"/>
  <c r="K7" i="44"/>
  <c r="E235" i="43"/>
  <c r="E234" i="43"/>
  <c r="E233" i="43"/>
  <c r="G15" i="43"/>
  <c r="E15" i="43"/>
  <c r="C14" i="43"/>
  <c r="K7" i="43"/>
  <c r="E82" i="41"/>
  <c r="E81" i="41"/>
  <c r="E80" i="41"/>
  <c r="G15" i="41"/>
  <c r="K6" i="41" s="1"/>
  <c r="E15" i="41"/>
  <c r="K5" i="41" s="1"/>
  <c r="C14" i="41"/>
  <c r="K4" i="41" s="1"/>
  <c r="K7" i="41"/>
  <c r="E105" i="40"/>
  <c r="E104" i="40"/>
  <c r="E103" i="40"/>
  <c r="G15" i="40"/>
  <c r="E15" i="40"/>
  <c r="C14" i="40"/>
  <c r="K7" i="40"/>
  <c r="E84" i="38"/>
  <c r="E83" i="38"/>
  <c r="E82" i="38"/>
  <c r="G15" i="38"/>
  <c r="K6" i="38" s="1"/>
  <c r="E15" i="38"/>
  <c r="C14" i="38"/>
  <c r="E122" i="37"/>
  <c r="E121" i="37"/>
  <c r="E120" i="37"/>
  <c r="G15" i="37"/>
  <c r="E15" i="37"/>
  <c r="C14" i="37"/>
  <c r="K7" i="37"/>
  <c r="E82" i="35"/>
  <c r="E81" i="35"/>
  <c r="E80" i="35"/>
  <c r="G15" i="35"/>
  <c r="K6" i="35" s="1"/>
  <c r="E15" i="35"/>
  <c r="K5" i="35" s="1"/>
  <c r="C14" i="35"/>
  <c r="K4" i="35" s="1"/>
  <c r="K7" i="35"/>
  <c r="E82" i="34"/>
  <c r="K6" i="34" s="1"/>
  <c r="E81" i="34"/>
  <c r="E80" i="34"/>
  <c r="G15" i="34"/>
  <c r="E15" i="34"/>
  <c r="C14" i="34"/>
  <c r="K7" i="34"/>
  <c r="K5" i="34"/>
  <c r="K4" i="34"/>
  <c r="E82" i="28"/>
  <c r="E81" i="28"/>
  <c r="E80" i="28"/>
  <c r="G15" i="28"/>
  <c r="E15" i="28"/>
  <c r="K5" i="28" s="1"/>
  <c r="C14" i="28"/>
  <c r="K4" i="28" s="1"/>
  <c r="K7" i="28"/>
  <c r="E99" i="27"/>
  <c r="E98" i="27"/>
  <c r="E97" i="27"/>
  <c r="G15" i="27"/>
  <c r="E15" i="27"/>
  <c r="C14" i="27"/>
  <c r="K7" i="27"/>
  <c r="E82" i="1"/>
  <c r="K6" i="1" s="1"/>
  <c r="E81" i="1"/>
  <c r="E80" i="1"/>
  <c r="G15" i="1"/>
  <c r="E15" i="1"/>
  <c r="C14" i="1"/>
  <c r="K7" i="1"/>
  <c r="K5" i="1"/>
  <c r="K4" i="1"/>
  <c r="B4" i="62"/>
  <c r="B5" i="62"/>
  <c r="B6" i="62"/>
  <c r="B7" i="62"/>
  <c r="B8" i="62"/>
  <c r="B9" i="62"/>
  <c r="B11" i="62"/>
  <c r="B12" i="62"/>
  <c r="B13" i="62"/>
  <c r="B14" i="62"/>
  <c r="B15" i="62"/>
  <c r="B16" i="62"/>
  <c r="B17" i="62"/>
  <c r="B18" i="62"/>
  <c r="B19" i="62"/>
  <c r="B20" i="62"/>
  <c r="B21" i="62"/>
  <c r="B22" i="62"/>
  <c r="B23" i="62"/>
  <c r="B24" i="62"/>
  <c r="B25" i="62"/>
  <c r="B26" i="62"/>
  <c r="B27" i="62"/>
  <c r="B28" i="62"/>
  <c r="B29" i="62"/>
  <c r="B30" i="62"/>
  <c r="F17" i="64"/>
  <c r="E17" i="64"/>
  <c r="D17" i="64"/>
  <c r="C17" i="64"/>
  <c r="F16" i="64"/>
  <c r="E16" i="64"/>
  <c r="D16" i="64"/>
  <c r="C16" i="64"/>
  <c r="B3" i="62"/>
  <c r="K5" i="58" l="1"/>
  <c r="K6" i="58"/>
  <c r="K4" i="58"/>
  <c r="K4" i="57"/>
  <c r="K6" i="57"/>
  <c r="K5" i="57"/>
  <c r="K4" i="55"/>
  <c r="K6" i="55"/>
  <c r="K6" i="54"/>
  <c r="K4" i="54"/>
  <c r="K5" i="54"/>
  <c r="K4" i="53"/>
  <c r="K5" i="53"/>
  <c r="K6" i="53"/>
  <c r="K5" i="51"/>
  <c r="K4" i="51"/>
  <c r="K6" i="51"/>
  <c r="K6" i="50"/>
  <c r="K5" i="50"/>
  <c r="K4" i="50"/>
  <c r="K5" i="48"/>
  <c r="K4" i="47"/>
  <c r="K5" i="47"/>
  <c r="K4" i="44"/>
  <c r="K6" i="44"/>
  <c r="K6" i="46"/>
  <c r="K4" i="46"/>
  <c r="K5" i="46"/>
  <c r="K5" i="44"/>
  <c r="K6" i="43"/>
  <c r="K5" i="43"/>
  <c r="K4" i="43"/>
  <c r="K4" i="40"/>
  <c r="K5" i="40"/>
  <c r="K6" i="40"/>
  <c r="K5" i="38"/>
  <c r="K4" i="38"/>
  <c r="K5" i="37"/>
  <c r="K4" i="37"/>
  <c r="K6" i="37"/>
  <c r="K6" i="28"/>
  <c r="K6" i="27"/>
  <c r="K5" i="27"/>
  <c r="K4" i="27"/>
  <c r="F9" i="64"/>
  <c r="I9" i="64"/>
  <c r="H9" i="64"/>
  <c r="E9" i="64"/>
  <c r="D9" i="64"/>
  <c r="C9" i="64"/>
  <c r="K9" i="64" a="1"/>
  <c r="K9" i="64" s="1"/>
  <c r="F8" i="64"/>
  <c r="I8" i="64"/>
  <c r="H8" i="64"/>
  <c r="E8" i="64"/>
  <c r="D8" i="64"/>
  <c r="C8" i="64"/>
  <c r="K8" i="64" a="1"/>
  <c r="K8" i="64" s="1"/>
  <c r="F6" i="64"/>
  <c r="H6" i="64"/>
  <c r="E6" i="64"/>
  <c r="D6" i="64"/>
  <c r="C6" i="64"/>
  <c r="K6" i="64" a="1"/>
  <c r="K6" i="64" s="1"/>
  <c r="J5" i="64"/>
  <c r="I5" i="64"/>
  <c r="H5" i="64"/>
  <c r="C5" i="64"/>
  <c r="E5" i="64" l="1"/>
  <c r="D5" i="64"/>
  <c r="J9" i="64"/>
  <c r="J8" i="64"/>
  <c r="I6" i="64"/>
  <c r="J6" i="64"/>
  <c r="D6" i="62"/>
  <c r="D4" i="62"/>
  <c r="D8" i="62"/>
  <c r="D10" i="62"/>
  <c r="D12" i="62"/>
  <c r="D14" i="62"/>
  <c r="D16" i="62"/>
  <c r="D18" i="62"/>
  <c r="D20" i="62"/>
  <c r="D22" i="62"/>
  <c r="D24" i="62"/>
  <c r="D26" i="62"/>
  <c r="D28" i="62"/>
  <c r="D30" i="62"/>
  <c r="K5" i="64" a="1"/>
  <c r="K5" i="64" s="1"/>
  <c r="D3" i="62"/>
  <c r="D7" i="62"/>
  <c r="D9" i="62"/>
  <c r="D11" i="62"/>
  <c r="D13" i="62"/>
  <c r="D15" i="62"/>
  <c r="D17" i="62"/>
  <c r="D19" i="62"/>
  <c r="D21" i="62"/>
  <c r="D23" i="62"/>
  <c r="D25" i="62"/>
  <c r="D27" i="62"/>
  <c r="D29" i="62"/>
  <c r="D5" i="62"/>
  <c r="F8" i="62"/>
  <c r="F20" i="62"/>
  <c r="F21" i="62"/>
  <c r="F3" i="62"/>
  <c r="F13" i="62"/>
  <c r="F4" i="62"/>
  <c r="F16" i="62"/>
  <c r="F28" i="62"/>
  <c r="F17" i="62"/>
  <c r="F9" i="62"/>
  <c r="F14" i="62"/>
  <c r="F26" i="62"/>
  <c r="F5" i="64"/>
  <c r="F19" i="62"/>
  <c r="F7" i="62"/>
  <c r="F24" i="62"/>
  <c r="F12" i="62"/>
  <c r="F5" i="62"/>
  <c r="F29" i="62"/>
  <c r="F10" i="62"/>
  <c r="F22" i="62"/>
  <c r="F15" i="62"/>
  <c r="F27" i="62"/>
  <c r="F25" i="62"/>
  <c r="F6" i="62"/>
  <c r="F18" i="62"/>
  <c r="F30" i="62"/>
  <c r="F11" i="62"/>
  <c r="F23" i="62"/>
  <c r="F32" i="64"/>
  <c r="I32" i="64"/>
  <c r="E32" i="64"/>
  <c r="D32" i="64"/>
  <c r="C32" i="64"/>
  <c r="K32" i="64" a="1"/>
  <c r="K32" i="64" s="1"/>
  <c r="F31" i="64"/>
  <c r="J31" i="64"/>
  <c r="I31" i="64"/>
  <c r="H31" i="64"/>
  <c r="E31" i="64"/>
  <c r="D31" i="64"/>
  <c r="C31" i="64"/>
  <c r="K31" i="64" a="1"/>
  <c r="K31" i="64" s="1"/>
  <c r="F30" i="64"/>
  <c r="J30" i="64"/>
  <c r="I30" i="64"/>
  <c r="H30" i="64"/>
  <c r="E30" i="64"/>
  <c r="D30" i="64"/>
  <c r="C30" i="64"/>
  <c r="K30" i="64" a="1"/>
  <c r="K30" i="64" s="1"/>
  <c r="F29" i="64"/>
  <c r="I29" i="64"/>
  <c r="H29" i="64"/>
  <c r="E29" i="64"/>
  <c r="D29" i="64"/>
  <c r="C29" i="64"/>
  <c r="K29" i="64" a="1"/>
  <c r="K29" i="64" s="1"/>
  <c r="F28" i="64"/>
  <c r="J28" i="64"/>
  <c r="I28" i="64"/>
  <c r="H28" i="64"/>
  <c r="E28" i="64"/>
  <c r="D28" i="64"/>
  <c r="C28" i="64"/>
  <c r="K28" i="64" a="1"/>
  <c r="K28" i="64" s="1"/>
  <c r="I27" i="64"/>
  <c r="H27" i="64"/>
  <c r="E27" i="64"/>
  <c r="D27" i="64"/>
  <c r="C27" i="64"/>
  <c r="K27" i="64" a="1"/>
  <c r="K27" i="64" s="1"/>
  <c r="F26" i="64"/>
  <c r="I26" i="64"/>
  <c r="H26" i="64"/>
  <c r="E26" i="64"/>
  <c r="D26" i="64"/>
  <c r="C26" i="64"/>
  <c r="K26" i="64" a="1"/>
  <c r="K26" i="64" s="1"/>
  <c r="I25" i="64"/>
  <c r="H25" i="64"/>
  <c r="E25" i="64"/>
  <c r="D25" i="64"/>
  <c r="C25" i="64"/>
  <c r="K25" i="64" a="1"/>
  <c r="K25" i="64" s="1"/>
  <c r="F24" i="64"/>
  <c r="I24" i="64"/>
  <c r="H24" i="64"/>
  <c r="E24" i="64"/>
  <c r="D24" i="64"/>
  <c r="C24" i="64"/>
  <c r="K24" i="64" a="1"/>
  <c r="K24" i="64" s="1"/>
  <c r="F23" i="64"/>
  <c r="I23" i="64"/>
  <c r="H23" i="64"/>
  <c r="E23" i="64"/>
  <c r="D23" i="64"/>
  <c r="C23" i="64"/>
  <c r="K23" i="64" a="1"/>
  <c r="K23" i="64" s="1"/>
  <c r="F22" i="64"/>
  <c r="I22" i="64"/>
  <c r="H22" i="64"/>
  <c r="E22" i="64"/>
  <c r="D22" i="64"/>
  <c r="C22" i="64"/>
  <c r="K22" i="64" a="1"/>
  <c r="K22" i="64" s="1"/>
  <c r="F21" i="64"/>
  <c r="J21" i="64"/>
  <c r="I21" i="64"/>
  <c r="H21" i="64"/>
  <c r="E21" i="64"/>
  <c r="D21" i="64"/>
  <c r="C21" i="64"/>
  <c r="K21" i="64" a="1"/>
  <c r="K21" i="64" s="1"/>
  <c r="I20" i="64"/>
  <c r="H20" i="64"/>
  <c r="E20" i="64"/>
  <c r="C20" i="64"/>
  <c r="K20" i="64" a="1"/>
  <c r="K20" i="64" s="1"/>
  <c r="F19" i="64"/>
  <c r="J19" i="64"/>
  <c r="I19" i="64"/>
  <c r="H19" i="64"/>
  <c r="E19" i="64"/>
  <c r="D19" i="64"/>
  <c r="C19" i="64"/>
  <c r="K19" i="64" a="1"/>
  <c r="K19" i="64" s="1"/>
  <c r="F18" i="64"/>
  <c r="I18" i="64"/>
  <c r="H18" i="64"/>
  <c r="E18" i="64"/>
  <c r="D18" i="64"/>
  <c r="C18" i="64"/>
  <c r="K18" i="64" a="1"/>
  <c r="K18" i="64" s="1"/>
  <c r="J17" i="64"/>
  <c r="I17" i="64"/>
  <c r="H17" i="64"/>
  <c r="K17" i="64" a="1"/>
  <c r="K17" i="64" s="1"/>
  <c r="I16" i="64"/>
  <c r="H16" i="64"/>
  <c r="K16" i="64" a="1"/>
  <c r="K16" i="64" s="1"/>
  <c r="F15" i="64"/>
  <c r="J15" i="64"/>
  <c r="I15" i="64"/>
  <c r="H15" i="64"/>
  <c r="E15" i="64"/>
  <c r="D15" i="64"/>
  <c r="K15" i="64" a="1"/>
  <c r="K15" i="64" s="1"/>
  <c r="F14" i="64"/>
  <c r="I14" i="64"/>
  <c r="H14" i="64"/>
  <c r="E14" i="64"/>
  <c r="D14" i="64"/>
  <c r="K14" i="64" a="1"/>
  <c r="K14" i="64" s="1"/>
  <c r="I13" i="64"/>
  <c r="H13" i="64"/>
  <c r="E13" i="64"/>
  <c r="D13" i="64"/>
  <c r="C13" i="64"/>
  <c r="K13" i="64" a="1"/>
  <c r="K13" i="64" s="1"/>
  <c r="F12" i="64"/>
  <c r="I12" i="64"/>
  <c r="H12" i="64"/>
  <c r="E12" i="64"/>
  <c r="D12" i="64"/>
  <c r="C12" i="64"/>
  <c r="K12" i="64" a="1"/>
  <c r="K12" i="64" s="1"/>
  <c r="F11" i="64"/>
  <c r="J11" i="64"/>
  <c r="I11" i="64"/>
  <c r="H11" i="64"/>
  <c r="E11" i="64"/>
  <c r="D11" i="64"/>
  <c r="C11" i="64"/>
  <c r="K11" i="64" a="1"/>
  <c r="K11" i="64" s="1"/>
  <c r="F10" i="64"/>
  <c r="I10" i="64"/>
  <c r="H10" i="64"/>
  <c r="E10" i="64"/>
  <c r="D10" i="64"/>
  <c r="C10" i="64"/>
  <c r="K10" i="64" a="1"/>
  <c r="K10" i="64" s="1"/>
  <c r="F7" i="64"/>
  <c r="I7" i="64"/>
  <c r="H7" i="64"/>
  <c r="E7" i="64"/>
  <c r="D7" i="64"/>
  <c r="C7" i="64"/>
  <c r="K7" i="64" a="1"/>
  <c r="K7" i="64" s="1"/>
  <c r="J32" i="64" l="1"/>
  <c r="H32" i="64"/>
  <c r="J29" i="64"/>
  <c r="J27" i="64"/>
  <c r="J26" i="64"/>
  <c r="J25" i="64"/>
  <c r="J24" i="64"/>
  <c r="J23" i="64"/>
  <c r="J22" i="64"/>
  <c r="D20" i="64"/>
  <c r="J20" i="64"/>
  <c r="J18" i="64"/>
  <c r="J16" i="64"/>
  <c r="C14" i="64"/>
  <c r="J14" i="64"/>
  <c r="J13" i="64"/>
  <c r="J12" i="64"/>
  <c r="J10" i="64"/>
  <c r="J7" i="64"/>
  <c r="E9" i="62"/>
  <c r="E23" i="62"/>
  <c r="E21" i="62"/>
  <c r="E4" i="62"/>
  <c r="E8" i="62"/>
  <c r="E12" i="62"/>
  <c r="E16" i="62"/>
  <c r="E20" i="62"/>
  <c r="E24" i="62"/>
  <c r="E28" i="62"/>
  <c r="E13" i="62"/>
  <c r="E29" i="62"/>
  <c r="E17" i="62"/>
  <c r="E5" i="62"/>
  <c r="E25" i="62"/>
  <c r="E14" i="62"/>
  <c r="E26" i="62"/>
  <c r="E3" i="62"/>
  <c r="E19" i="62"/>
  <c r="E10" i="62"/>
  <c r="E6" i="62"/>
  <c r="E18" i="62"/>
  <c r="E22" i="62"/>
  <c r="E30" i="62"/>
  <c r="E15" i="62"/>
  <c r="E27" i="62"/>
  <c r="E7" i="62"/>
  <c r="E11" i="62"/>
  <c r="C4" i="62"/>
  <c r="C7" i="62"/>
  <c r="C10" i="62"/>
  <c r="C13" i="62"/>
  <c r="C16" i="62"/>
  <c r="C22" i="62"/>
  <c r="C25" i="62"/>
  <c r="C28" i="62"/>
  <c r="C19" i="62"/>
  <c r="C3" i="62"/>
  <c r="C5" i="62"/>
  <c r="C8" i="62"/>
  <c r="C11" i="62"/>
  <c r="C14" i="62"/>
  <c r="C17" i="62"/>
  <c r="C20" i="62"/>
  <c r="C23" i="62"/>
  <c r="C26" i="62"/>
  <c r="C29" i="62"/>
  <c r="C6" i="62"/>
  <c r="C9" i="62"/>
  <c r="C12" i="62"/>
  <c r="C15" i="62"/>
  <c r="C18" i="62"/>
  <c r="C21" i="62"/>
  <c r="C27" i="62"/>
  <c r="C30" i="62"/>
  <c r="C24" i="62"/>
  <c r="K6" i="6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BAD4A2DC-DC5A-4DFC-87CD-973093B1786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6A84448E-1C70-4168-A045-90A0E87718F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E170133E-AE32-487E-AFB4-7C0C72D154D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3B012D3D-01B0-4EF6-9684-E0A1F795E76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149D62F-6605-4BDF-85BE-1DC305D3F8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884ED0BC-38FD-4EBC-87CF-3A2793AC4B6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B95F11AD-1E17-44D4-A38C-8BA80F6FD96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CA6EC63D-E2A3-48B4-B05B-9C234B9154C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1B92CE74-31BC-4091-8ECD-3ACDFA805B2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01E7AB6-6024-4918-8207-7B18DBEDB09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53AA288-FADE-4BE8-A446-81EEE2AE4DA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99B467AD-1B24-412B-8BA3-D8B19BBF92F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0BA17DB6-4662-4FC6-850D-FD0DF5B704C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93B599E2-F655-4CD9-B1B7-97FC20309DA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9DF3BA2-F3ED-4E8A-AF2D-EA5AC124C06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A050CEC-DFB5-4B42-8B5E-F5B3DB262AF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FD66ED17-1584-416F-ABF7-C7E2D2C2503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C500D7DE-CF99-4FDD-B7AC-5ACEEBA073B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3F6DA08C-5D91-4E4A-9CFA-3602A16A107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435BC63D-F944-42CC-B38D-3D17BA1AB5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5A43CCF6-DAE5-4C3B-9306-1FE5779769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4012CC4F-E880-40CC-9805-D36801AADBC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DB7F91EF-846B-4386-9262-348C781F837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DDC604C6-B999-413E-AC3A-BD0A5582D2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9391B766-DB65-402C-B7D6-E0D6E3D186F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0E464A85-F5A1-4DC7-B885-4B93D27F5C9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6105A492-83BC-4C8C-A952-13C561E8B1F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3A0DE4E1-AAF3-4D62-9C9B-EDC4E34C36F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F7F5EFC0-E4A9-4AE9-91AE-E8E22D946D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2E05470F-3DB4-433A-BD81-1F17AF24F7A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3" authorId="0" shapeId="0" xr:uid="{7C4E6502-7951-4EB1-8D12-5886B80295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montant correpond à l'argent réellement mise dans la baque (remise bancaire) et donc exclue tous les cheques avec une date supérieur par ex.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<sst xmlns="http://schemas.openxmlformats.org/spreadsheetml/2006/main" count="6674" uniqueCount="1705">
  <si>
    <t>DATE</t>
  </si>
  <si>
    <t>EXCEL</t>
  </si>
  <si>
    <t>Espèces</t>
  </si>
  <si>
    <t>ESPECES</t>
  </si>
  <si>
    <t>Chèques</t>
  </si>
  <si>
    <t>CHEQUES</t>
  </si>
  <si>
    <t>VIREMENT</t>
  </si>
  <si>
    <t>Client</t>
  </si>
  <si>
    <t>Montant</t>
  </si>
  <si>
    <t>Till</t>
  </si>
  <si>
    <t>Monnaie</t>
  </si>
  <si>
    <t>Total</t>
  </si>
  <si>
    <t>LIVRAISONS</t>
  </si>
  <si>
    <t>Banque</t>
  </si>
  <si>
    <t>Numero</t>
  </si>
  <si>
    <t>Remarques</t>
  </si>
  <si>
    <t>SAP</t>
  </si>
  <si>
    <t>Virements</t>
  </si>
  <si>
    <t>cari versailles</t>
  </si>
  <si>
    <t>cqfd</t>
  </si>
  <si>
    <t>new</t>
  </si>
  <si>
    <t>TOTAL</t>
  </si>
  <si>
    <t>ESPECE</t>
  </si>
  <si>
    <t>CHEQUE</t>
  </si>
  <si>
    <t>cb</t>
  </si>
  <si>
    <t>depense</t>
  </si>
  <si>
    <t>total</t>
  </si>
  <si>
    <t>date</t>
  </si>
  <si>
    <t>esp</t>
  </si>
  <si>
    <t>chq</t>
  </si>
  <si>
    <t>virement</t>
  </si>
  <si>
    <t>31/04/2026</t>
  </si>
  <si>
    <t>c6727</t>
  </si>
  <si>
    <t>ok</t>
  </si>
  <si>
    <t>c4494</t>
  </si>
  <si>
    <t>bred</t>
  </si>
  <si>
    <t>c4523</t>
  </si>
  <si>
    <t>c5842</t>
  </si>
  <si>
    <t>c6364</t>
  </si>
  <si>
    <t>c5123</t>
  </si>
  <si>
    <t>c6155</t>
  </si>
  <si>
    <t>c6707</t>
  </si>
  <si>
    <t>c4368</t>
  </si>
  <si>
    <t>c5362</t>
  </si>
  <si>
    <t>lcl</t>
  </si>
  <si>
    <t>c6616</t>
  </si>
  <si>
    <t>cic</t>
  </si>
  <si>
    <t>c4231</t>
  </si>
  <si>
    <t>SIRIUS</t>
  </si>
  <si>
    <t>c1756</t>
  </si>
  <si>
    <t>c6054</t>
  </si>
  <si>
    <t>c3017</t>
  </si>
  <si>
    <t>YBB</t>
  </si>
  <si>
    <t>c4332</t>
  </si>
  <si>
    <t>c6247</t>
  </si>
  <si>
    <t>c4168</t>
  </si>
  <si>
    <t>bnp</t>
  </si>
  <si>
    <t>c5205</t>
  </si>
  <si>
    <t>ce</t>
  </si>
  <si>
    <t>c4903</t>
  </si>
  <si>
    <t>ca</t>
  </si>
  <si>
    <t>c4650</t>
  </si>
  <si>
    <t>bp</t>
  </si>
  <si>
    <t>c7664</t>
  </si>
  <si>
    <t>c5550</t>
  </si>
  <si>
    <t>c3585</t>
  </si>
  <si>
    <t>c4214</t>
  </si>
  <si>
    <t>c7209</t>
  </si>
  <si>
    <t>amar</t>
  </si>
  <si>
    <t>SOGEMAT</t>
  </si>
  <si>
    <t>C4084</t>
  </si>
  <si>
    <t>OK</t>
  </si>
  <si>
    <t>C7196</t>
  </si>
  <si>
    <t>c7634</t>
  </si>
  <si>
    <t>c6684</t>
  </si>
  <si>
    <t>sg</t>
  </si>
  <si>
    <t>MNH</t>
  </si>
  <si>
    <t>c3617</t>
  </si>
  <si>
    <t>c5420</t>
  </si>
  <si>
    <t>BURGERISTE</t>
  </si>
  <si>
    <t>c4357</t>
  </si>
  <si>
    <t>samir</t>
  </si>
  <si>
    <t>c3757</t>
  </si>
  <si>
    <t>C6018</t>
  </si>
  <si>
    <t>MEK'LA</t>
  </si>
  <si>
    <t>C7134</t>
  </si>
  <si>
    <t>C6054</t>
  </si>
  <si>
    <t>C6651</t>
  </si>
  <si>
    <t>BNP</t>
  </si>
  <si>
    <t>c5824</t>
  </si>
  <si>
    <t>c3476</t>
  </si>
  <si>
    <t>c3127</t>
  </si>
  <si>
    <t>c3938</t>
  </si>
  <si>
    <t>c1259</t>
  </si>
  <si>
    <t>c5238</t>
  </si>
  <si>
    <t>cm</t>
  </si>
  <si>
    <t>skander</t>
  </si>
  <si>
    <t>c6124</t>
  </si>
  <si>
    <t>c7675</t>
  </si>
  <si>
    <t>c3887</t>
  </si>
  <si>
    <t>c6555</t>
  </si>
  <si>
    <t>c5499</t>
  </si>
  <si>
    <t>c541</t>
  </si>
  <si>
    <t>c7505</t>
  </si>
  <si>
    <t>c5729</t>
  </si>
  <si>
    <t>OPUS</t>
  </si>
  <si>
    <t>c7030</t>
  </si>
  <si>
    <t>c2718</t>
  </si>
  <si>
    <t>c7727</t>
  </si>
  <si>
    <t>Massis</t>
  </si>
  <si>
    <t>c5435</t>
  </si>
  <si>
    <t>brandecision</t>
  </si>
  <si>
    <t>C5977</t>
  </si>
  <si>
    <t>DEEPKITCHEN</t>
  </si>
  <si>
    <t>C7596</t>
  </si>
  <si>
    <t>C6886</t>
  </si>
  <si>
    <t>C6735</t>
  </si>
  <si>
    <t>C7191</t>
  </si>
  <si>
    <t>C6410</t>
  </si>
  <si>
    <t>HOUCINE</t>
  </si>
  <si>
    <t>C5776</t>
  </si>
  <si>
    <t>C6108</t>
  </si>
  <si>
    <t>C6380</t>
  </si>
  <si>
    <t>C6683</t>
  </si>
  <si>
    <t>C2445</t>
  </si>
  <si>
    <t>C6508</t>
  </si>
  <si>
    <t>C6663</t>
  </si>
  <si>
    <t>C7451</t>
  </si>
  <si>
    <t>C6727</t>
  </si>
  <si>
    <t>C7604</t>
  </si>
  <si>
    <t>BRANDECISION</t>
  </si>
  <si>
    <t>C6555</t>
  </si>
  <si>
    <t>C2718</t>
  </si>
  <si>
    <t>C5550</t>
  </si>
  <si>
    <t>C1113</t>
  </si>
  <si>
    <t>AZAR</t>
  </si>
  <si>
    <t>C3215</t>
  </si>
  <si>
    <t>BP</t>
  </si>
  <si>
    <t>C6690</t>
  </si>
  <si>
    <t>c1936</t>
  </si>
  <si>
    <t>c7336</t>
  </si>
  <si>
    <t>EDENDI</t>
  </si>
  <si>
    <t>c1513</t>
  </si>
  <si>
    <t>c2789</t>
  </si>
  <si>
    <t>c6767</t>
  </si>
  <si>
    <t>sauce</t>
  </si>
  <si>
    <t>c3485</t>
  </si>
  <si>
    <t>c7518</t>
  </si>
  <si>
    <t>osv</t>
  </si>
  <si>
    <t>c6075</t>
  </si>
  <si>
    <t>yasin</t>
  </si>
  <si>
    <t>c6365</t>
  </si>
  <si>
    <t>c5702</t>
  </si>
  <si>
    <t>fahad</t>
  </si>
  <si>
    <t>c6940</t>
  </si>
  <si>
    <t>c1732</t>
  </si>
  <si>
    <t>c4084</t>
  </si>
  <si>
    <t>sogemat</t>
  </si>
  <si>
    <t>c7730</t>
  </si>
  <si>
    <t>marvin</t>
  </si>
  <si>
    <t>c7499</t>
  </si>
  <si>
    <t>l'emeraude</t>
  </si>
  <si>
    <t>ALISHAN</t>
  </si>
  <si>
    <t>QFDBEAUVAIS</t>
  </si>
  <si>
    <t>LEIFOOD</t>
  </si>
  <si>
    <t>OVENFOOD</t>
  </si>
  <si>
    <t>S,A,S,HETNMARKET</t>
  </si>
  <si>
    <t>S,A,R,L,CASAMIA</t>
  </si>
  <si>
    <t>MARKETDEPOTPSB</t>
  </si>
  <si>
    <t>W,TFOOD</t>
  </si>
  <si>
    <t>BURGER45STREET</t>
  </si>
  <si>
    <t>EPICERIEALIMENTAIRE</t>
  </si>
  <si>
    <t>MMECHOUITERILHAM</t>
  </si>
  <si>
    <t>c6244</t>
  </si>
  <si>
    <t>c3237</t>
  </si>
  <si>
    <t>c7637</t>
  </si>
  <si>
    <t>c3051</t>
  </si>
  <si>
    <t>c2431</t>
  </si>
  <si>
    <t>c1855</t>
  </si>
  <si>
    <t>Luna</t>
  </si>
  <si>
    <t>c5873</t>
  </si>
  <si>
    <t>c7745</t>
  </si>
  <si>
    <t>houcine</t>
  </si>
  <si>
    <t>c4548</t>
  </si>
  <si>
    <t>c6052</t>
  </si>
  <si>
    <t>c1886</t>
  </si>
  <si>
    <t>SUKISOBA</t>
  </si>
  <si>
    <t>c4379</t>
  </si>
  <si>
    <t>c6690</t>
  </si>
  <si>
    <t>c1465</t>
  </si>
  <si>
    <t>c2445</t>
  </si>
  <si>
    <t>GUOCHENG</t>
  </si>
  <si>
    <t>c1842</t>
  </si>
  <si>
    <t>c6683</t>
  </si>
  <si>
    <t>c5923</t>
  </si>
  <si>
    <t>c7478</t>
  </si>
  <si>
    <t>c6018</t>
  </si>
  <si>
    <t>c6395</t>
  </si>
  <si>
    <t>c5083</t>
  </si>
  <si>
    <t>c5863</t>
  </si>
  <si>
    <t>c2886</t>
  </si>
  <si>
    <t>c4204</t>
  </si>
  <si>
    <t>aboubaker</t>
  </si>
  <si>
    <t>SANA</t>
  </si>
  <si>
    <t>c2729</t>
  </si>
  <si>
    <t>c7396</t>
  </si>
  <si>
    <t>c7713</t>
  </si>
  <si>
    <t>DIPSAMATIC</t>
  </si>
  <si>
    <t>c3141</t>
  </si>
  <si>
    <t>c3455</t>
  </si>
  <si>
    <t>K-CHI</t>
  </si>
  <si>
    <t>c5161</t>
  </si>
  <si>
    <t>c6471</t>
  </si>
  <si>
    <t>c7604</t>
  </si>
  <si>
    <t>MEOKJA</t>
  </si>
  <si>
    <t>c6918</t>
  </si>
  <si>
    <t>c5707</t>
  </si>
  <si>
    <t>NOUJOUM</t>
  </si>
  <si>
    <t>c1428</t>
  </si>
  <si>
    <t>c7737</t>
  </si>
  <si>
    <t>c7164</t>
  </si>
  <si>
    <t>c2987</t>
  </si>
  <si>
    <t>c2414</t>
  </si>
  <si>
    <t>Silan</t>
  </si>
  <si>
    <t>c5276</t>
  </si>
  <si>
    <t>extra</t>
  </si>
  <si>
    <t>c4800</t>
  </si>
  <si>
    <t>c6658</t>
  </si>
  <si>
    <t>c6551</t>
  </si>
  <si>
    <t>c2545</t>
  </si>
  <si>
    <t>c5850</t>
  </si>
  <si>
    <t>c6171</t>
  </si>
  <si>
    <t>c5538</t>
  </si>
  <si>
    <t>c1376</t>
  </si>
  <si>
    <t>O'GARDEN</t>
  </si>
  <si>
    <t>c7741</t>
  </si>
  <si>
    <t>ISIA</t>
  </si>
  <si>
    <t>c7738</t>
  </si>
  <si>
    <t>gasoil</t>
  </si>
  <si>
    <t>delta</t>
  </si>
  <si>
    <t>plumber</t>
  </si>
  <si>
    <t>C1373</t>
  </si>
  <si>
    <t>SG</t>
  </si>
  <si>
    <t>C7735</t>
  </si>
  <si>
    <t>C5144</t>
  </si>
  <si>
    <t>BRED</t>
  </si>
  <si>
    <t>C5842</t>
  </si>
  <si>
    <t>C1222</t>
  </si>
  <si>
    <t>CIC</t>
  </si>
  <si>
    <t>C1971</t>
  </si>
  <si>
    <t>C5877</t>
  </si>
  <si>
    <t>C7100</t>
  </si>
  <si>
    <t>C5316</t>
  </si>
  <si>
    <t>C1838</t>
  </si>
  <si>
    <t>HC</t>
  </si>
  <si>
    <t>N,6277</t>
  </si>
  <si>
    <t>C6973</t>
  </si>
  <si>
    <t>SURPLACE</t>
  </si>
  <si>
    <t>C6294</t>
  </si>
  <si>
    <t>C9999</t>
  </si>
  <si>
    <t>C4207</t>
  </si>
  <si>
    <t>JULIENNE</t>
  </si>
  <si>
    <t>C6212</t>
  </si>
  <si>
    <t>C7336</t>
  </si>
  <si>
    <t>C7692</t>
  </si>
  <si>
    <t>SANDRINE</t>
  </si>
  <si>
    <t>C6459</t>
  </si>
  <si>
    <t>FATIMA</t>
  </si>
  <si>
    <t>C4602</t>
  </si>
  <si>
    <t>CHAMAS</t>
  </si>
  <si>
    <t>C4368</t>
  </si>
  <si>
    <t>sobicash</t>
  </si>
  <si>
    <t>c6114</t>
  </si>
  <si>
    <t>c5431</t>
  </si>
  <si>
    <t>c6004</t>
  </si>
  <si>
    <t>c6367</t>
  </si>
  <si>
    <t>c2108</t>
  </si>
  <si>
    <t>c6802</t>
  </si>
  <si>
    <t>AYROEV</t>
  </si>
  <si>
    <t>c6000</t>
  </si>
  <si>
    <t>c6948</t>
  </si>
  <si>
    <t>c3458</t>
  </si>
  <si>
    <t>c7621</t>
  </si>
  <si>
    <t>c4946</t>
  </si>
  <si>
    <t>c7753</t>
  </si>
  <si>
    <t>c6508</t>
  </si>
  <si>
    <t>c7142</t>
  </si>
  <si>
    <t>c6366</t>
  </si>
  <si>
    <t>c6769</t>
  </si>
  <si>
    <t>c4215</t>
  </si>
  <si>
    <t>c7754</t>
  </si>
  <si>
    <t>c7619</t>
  </si>
  <si>
    <t>c5355</t>
  </si>
  <si>
    <t>c1526</t>
  </si>
  <si>
    <t>alishan</t>
  </si>
  <si>
    <t>c2152</t>
  </si>
  <si>
    <t>c1681</t>
  </si>
  <si>
    <t>c6569</t>
  </si>
  <si>
    <t>c3218</t>
  </si>
  <si>
    <t>C7396</t>
  </si>
  <si>
    <t>C6534</t>
  </si>
  <si>
    <t>LEBNEN</t>
  </si>
  <si>
    <t>C6446</t>
  </si>
  <si>
    <t>C4202</t>
  </si>
  <si>
    <t>C5716</t>
  </si>
  <si>
    <t>c7615</t>
  </si>
  <si>
    <t>c7488</t>
  </si>
  <si>
    <t>c5052</t>
  </si>
  <si>
    <t>c3888</t>
  </si>
  <si>
    <t>c1832</t>
  </si>
  <si>
    <t>c5004</t>
  </si>
  <si>
    <t>c7191</t>
  </si>
  <si>
    <t>c7758</t>
  </si>
  <si>
    <t>c5848</t>
  </si>
  <si>
    <t>SAUCE</t>
  </si>
  <si>
    <t>c2938</t>
  </si>
  <si>
    <t>assilak</t>
  </si>
  <si>
    <t>c6194</t>
  </si>
  <si>
    <t>ahmed</t>
  </si>
  <si>
    <t>lbf</t>
  </si>
  <si>
    <t>shameem</t>
  </si>
  <si>
    <t>c6288</t>
  </si>
  <si>
    <t>c6881</t>
  </si>
  <si>
    <t>c1640</t>
  </si>
  <si>
    <t>c7763</t>
  </si>
  <si>
    <t>luks</t>
  </si>
  <si>
    <t>c3469</t>
  </si>
  <si>
    <t>yohan</t>
  </si>
  <si>
    <t>c5970</t>
  </si>
  <si>
    <t>djerba</t>
  </si>
  <si>
    <t>c6431</t>
  </si>
  <si>
    <t>c2820</t>
  </si>
  <si>
    <t>burgeriste</t>
  </si>
  <si>
    <t>c3374</t>
  </si>
  <si>
    <t>c1811</t>
  </si>
  <si>
    <t>c4492</t>
  </si>
  <si>
    <t>masmaris</t>
  </si>
  <si>
    <t>sukisoba</t>
  </si>
  <si>
    <t>c4456</t>
  </si>
  <si>
    <t>c6330</t>
  </si>
  <si>
    <t>adnan</t>
  </si>
  <si>
    <t>c4031</t>
  </si>
  <si>
    <t>c6470</t>
  </si>
  <si>
    <t>rannouch</t>
  </si>
  <si>
    <t>bpop</t>
  </si>
  <si>
    <t>c63801</t>
  </si>
  <si>
    <t>lassaad</t>
  </si>
  <si>
    <t>C2592</t>
  </si>
  <si>
    <t>C7084</t>
  </si>
  <si>
    <t>DIEUNE</t>
  </si>
  <si>
    <t>C7675</t>
  </si>
  <si>
    <t>TOKYORAMA</t>
  </si>
  <si>
    <t>C4308</t>
  </si>
  <si>
    <t>C2886</t>
  </si>
  <si>
    <t>C1259</t>
  </si>
  <si>
    <t>SRS</t>
  </si>
  <si>
    <t>C3127</t>
  </si>
  <si>
    <t>MOUSTACHE</t>
  </si>
  <si>
    <t>C7164</t>
  </si>
  <si>
    <t>KRUNCHY</t>
  </si>
  <si>
    <t>C7774</t>
  </si>
  <si>
    <t>WABA</t>
  </si>
  <si>
    <t>C7143</t>
  </si>
  <si>
    <t>ABRAJ</t>
  </si>
  <si>
    <t>C6940</t>
  </si>
  <si>
    <t>MAXIME</t>
  </si>
  <si>
    <t>C3186</t>
  </si>
  <si>
    <t>C2789</t>
  </si>
  <si>
    <t>BERTHE</t>
  </si>
  <si>
    <t>C7710</t>
  </si>
  <si>
    <t>SEVERINE</t>
  </si>
  <si>
    <t>C5153</t>
  </si>
  <si>
    <t>MADINAH</t>
  </si>
  <si>
    <t>C7435</t>
  </si>
  <si>
    <t>C1581</t>
  </si>
  <si>
    <t>C1732</t>
  </si>
  <si>
    <t>C5431</t>
  </si>
  <si>
    <t>C6159</t>
  </si>
  <si>
    <t>ROSMINS</t>
  </si>
  <si>
    <t>YOHAN</t>
  </si>
  <si>
    <t>C7478</t>
  </si>
  <si>
    <t>KFE</t>
  </si>
  <si>
    <t>C1727</t>
  </si>
  <si>
    <t>C6367</t>
  </si>
  <si>
    <t>C7720</t>
  </si>
  <si>
    <t>BRUT</t>
  </si>
  <si>
    <t>C4523</t>
  </si>
  <si>
    <t>GARBA</t>
  </si>
  <si>
    <t>C7741</t>
  </si>
  <si>
    <t>C3287</t>
  </si>
  <si>
    <t>BUDDIES</t>
  </si>
  <si>
    <t>C4647</t>
  </si>
  <si>
    <t>TAMKINE</t>
  </si>
  <si>
    <t>CM</t>
  </si>
  <si>
    <t>C7621</t>
  </si>
  <si>
    <t>COVA</t>
  </si>
  <si>
    <t>C3017</t>
  </si>
  <si>
    <t>C7212</t>
  </si>
  <si>
    <t>CE</t>
  </si>
  <si>
    <t>C7786</t>
  </si>
  <si>
    <t>C3476</t>
  </si>
  <si>
    <t>C4168</t>
  </si>
  <si>
    <t>KCHIMAEK</t>
  </si>
  <si>
    <t>C1376</t>
  </si>
  <si>
    <t>C7505</t>
  </si>
  <si>
    <t>WAJIH</t>
  </si>
  <si>
    <t>C6676</t>
  </si>
  <si>
    <t>C5702</t>
  </si>
  <si>
    <t>FAHAD</t>
  </si>
  <si>
    <t>C7777</t>
  </si>
  <si>
    <t>C3942</t>
  </si>
  <si>
    <t>BPOP</t>
  </si>
  <si>
    <t>C4357</t>
  </si>
  <si>
    <t>C5714</t>
  </si>
  <si>
    <t>OUNISSA</t>
  </si>
  <si>
    <t>C4394</t>
  </si>
  <si>
    <t>PASCAL</t>
  </si>
  <si>
    <t>C2729</t>
  </si>
  <si>
    <t>C6814</t>
  </si>
  <si>
    <t>YHDEN</t>
  </si>
  <si>
    <t>DAVO</t>
  </si>
  <si>
    <t>C1756</t>
  </si>
  <si>
    <t>lemeraude</t>
  </si>
  <si>
    <t>c5977</t>
  </si>
  <si>
    <t>C7133</t>
  </si>
  <si>
    <t>C6004</t>
  </si>
  <si>
    <t>C6641</t>
  </si>
  <si>
    <t>DYNASHOP</t>
  </si>
  <si>
    <t>C6337</t>
  </si>
  <si>
    <t>c5872</t>
  </si>
  <si>
    <t>C7352</t>
  </si>
  <si>
    <t>C7763</t>
  </si>
  <si>
    <t>AQUAGO</t>
  </si>
  <si>
    <t>C7550</t>
  </si>
  <si>
    <t>C7734</t>
  </si>
  <si>
    <t>BUDDIE'S</t>
  </si>
  <si>
    <t>C7432</t>
  </si>
  <si>
    <t>C7452</t>
  </si>
  <si>
    <t>SAMIR</t>
  </si>
  <si>
    <t>C1541</t>
  </si>
  <si>
    <t>c3063</t>
  </si>
  <si>
    <t>c5527</t>
  </si>
  <si>
    <t>c7735</t>
  </si>
  <si>
    <t>c4517</t>
  </si>
  <si>
    <t>RemiseBancaire(SAP)</t>
  </si>
  <si>
    <t>Monnaienondéposée</t>
  </si>
  <si>
    <t>CARTECREDIT</t>
  </si>
  <si>
    <t>CaisseEspèces</t>
  </si>
  <si>
    <t>Caissechèques</t>
  </si>
  <si>
    <t>CaisseCB</t>
  </si>
  <si>
    <t>Billetsde50</t>
  </si>
  <si>
    <t>Dépenses:Essence,Divers</t>
  </si>
  <si>
    <t>Billetsde20</t>
  </si>
  <si>
    <t>Billetsde10</t>
  </si>
  <si>
    <t>sancont</t>
  </si>
  <si>
    <t>Billetsde5</t>
  </si>
  <si>
    <t>Fonddecaisse</t>
  </si>
  <si>
    <t>DifférenceFondCaisse</t>
  </si>
  <si>
    <t>CODECLIENT</t>
  </si>
  <si>
    <t>PaiementsChèques</t>
  </si>
  <si>
    <t>PaiementsEspèces</t>
  </si>
  <si>
    <t>PaiementsCBSite</t>
  </si>
  <si>
    <t>PaiementsCBTéléphone</t>
  </si>
  <si>
    <t>Livraisonsnonpayées</t>
  </si>
  <si>
    <t>TOTALESPECES</t>
  </si>
  <si>
    <t>TOTALCHEQUES</t>
  </si>
  <si>
    <t>TOTALCBInternet&amp;Phone</t>
  </si>
  <si>
    <t>no002804193330</t>
  </si>
  <si>
    <t>no002804393210</t>
  </si>
  <si>
    <t>no002804243100</t>
  </si>
  <si>
    <t>no104711,78</t>
  </si>
  <si>
    <t>alishanrest</t>
  </si>
  <si>
    <t>ahmedgasoil</t>
  </si>
  <si>
    <t>abubakaradvancemars2026</t>
  </si>
  <si>
    <t>MCVDaumesnil</t>
  </si>
  <si>
    <t>ChezSUZETTE</t>
  </si>
  <si>
    <t>davodistribution</t>
  </si>
  <si>
    <t>restaurantk-chimaek</t>
  </si>
  <si>
    <t>restaurantyoshiworld</t>
  </si>
  <si>
    <t>ROOSTERGRILLlam</t>
  </si>
  <si>
    <t>BREADSHOP</t>
  </si>
  <si>
    <t>RestaurantCheezy</t>
  </si>
  <si>
    <t>JadwigaWala</t>
  </si>
  <si>
    <t>PFCARDINET(MATHIEUBoulangerie)</t>
  </si>
  <si>
    <t>echangemonnais</t>
  </si>
  <si>
    <t>SODIMACLuzzato</t>
  </si>
  <si>
    <t>NEHASTDENIS(chickenspot)</t>
  </si>
  <si>
    <t>garbachaudlacourneuve</t>
  </si>
  <si>
    <t>SARLLACREPESURMESURE</t>
  </si>
  <si>
    <t>ErjiaKE</t>
  </si>
  <si>
    <t>ZIGZAGCAFE</t>
  </si>
  <si>
    <t>ShaziaBaig</t>
  </si>
  <si>
    <t>RestaurantVanApril</t>
  </si>
  <si>
    <t>Lesoleild'or</t>
  </si>
  <si>
    <t>S&amp;TCommerce</t>
  </si>
  <si>
    <t>YohanSULTAN</t>
  </si>
  <si>
    <t>SarlBurgerFactory2</t>
  </si>
  <si>
    <t>lafamilia</t>
  </si>
  <si>
    <t>TENDERSBROTHERS</t>
  </si>
  <si>
    <t>NO002804044130</t>
  </si>
  <si>
    <t>NO002803923040</t>
  </si>
  <si>
    <t>NO159424,09</t>
  </si>
  <si>
    <t>AUSUNDINE</t>
  </si>
  <si>
    <t>OSPERSAN</t>
  </si>
  <si>
    <t>ALISHANREST</t>
  </si>
  <si>
    <t>SOCIETEJH</t>
  </si>
  <si>
    <t>Davidwarmuz</t>
  </si>
  <si>
    <t>SASTHON</t>
  </si>
  <si>
    <t>ParissudEntreprise</t>
  </si>
  <si>
    <t>VICTORIA168</t>
  </si>
  <si>
    <t>Royalkebab</t>
  </si>
  <si>
    <t>LATIFAAFIF</t>
  </si>
  <si>
    <t>SarlCdr</t>
  </si>
  <si>
    <t>HaochiLI</t>
  </si>
  <si>
    <t>RannouchExpress</t>
  </si>
  <si>
    <t>OBADAALMALLOUHI</t>
  </si>
  <si>
    <t>EXTRA</t>
  </si>
  <si>
    <t>Lafourneedines</t>
  </si>
  <si>
    <t>Dolcedessert</t>
  </si>
  <si>
    <t>O'Tacos-MCLDISTRIBUTION</t>
  </si>
  <si>
    <t>pitadinepitadine</t>
  </si>
  <si>
    <t>CARESTURATIONEXTRA</t>
  </si>
  <si>
    <t>LIDISTRIBUTION</t>
  </si>
  <si>
    <t>WokFactory</t>
  </si>
  <si>
    <t>MamiFood</t>
  </si>
  <si>
    <t>moustacheetfils</t>
  </si>
  <si>
    <t>SPICE'N'GRILL</t>
  </si>
  <si>
    <t>halalcourse</t>
  </si>
  <si>
    <t>SRSCHICKENSPOT(trembley)</t>
  </si>
  <si>
    <t>TOKYORAMA(O'9POKE)</t>
  </si>
  <si>
    <t>SARLVINVIN(BOJANAM)</t>
  </si>
  <si>
    <t>AhmedBellahcene</t>
  </si>
  <si>
    <t>WAJIHHAMMOUD</t>
  </si>
  <si>
    <t>JoeBurger</t>
  </si>
  <si>
    <t>LILIANE&amp;ILIANE</t>
  </si>
  <si>
    <t>MohammedBodrulIslam</t>
  </si>
  <si>
    <t>HALALCOURSE6274</t>
  </si>
  <si>
    <t>HALALCOURSE</t>
  </si>
  <si>
    <t>LEROCHER</t>
  </si>
  <si>
    <t>lassaadbendaali</t>
  </si>
  <si>
    <t>Chickenstate</t>
  </si>
  <si>
    <t>SUSHI&amp;SNACKFOOD</t>
  </si>
  <si>
    <t>NO002803873485</t>
  </si>
  <si>
    <t>NO002803726660</t>
  </si>
  <si>
    <t>NO62751,14</t>
  </si>
  <si>
    <t>skandergasoil</t>
  </si>
  <si>
    <t>SAMIRGASOIL</t>
  </si>
  <si>
    <t>maxchicken</t>
  </si>
  <si>
    <t>HOCINEACOMPTE</t>
  </si>
  <si>
    <t>LEPHENIX</t>
  </si>
  <si>
    <t>mcvlavillette</t>
  </si>
  <si>
    <t>BigBangZone</t>
  </si>
  <si>
    <t>maximestefanos</t>
  </si>
  <si>
    <t>EXTRAM,N,A</t>
  </si>
  <si>
    <t>CHICKENSPOTGENNEVILLIERS</t>
  </si>
  <si>
    <t>SASYLS</t>
  </si>
  <si>
    <t>SCONE</t>
  </si>
  <si>
    <t>sasuberthe</t>
  </si>
  <si>
    <t>carestauration</t>
  </si>
  <si>
    <t>sarlcrepesurmesure</t>
  </si>
  <si>
    <t>sarlfriedchicken</t>
  </si>
  <si>
    <t>thecorners</t>
  </si>
  <si>
    <t>NO002803671670</t>
  </si>
  <si>
    <t>NO002803323120</t>
  </si>
  <si>
    <t>NO002803522180</t>
  </si>
  <si>
    <t>NO002803476500</t>
  </si>
  <si>
    <t>NO31608,59</t>
  </si>
  <si>
    <t>BUFFETGARE</t>
  </si>
  <si>
    <t>AHMEDGASOIL</t>
  </si>
  <si>
    <t>BESTFALAFEL</t>
  </si>
  <si>
    <t>SKENDARGASOIL</t>
  </si>
  <si>
    <t>SAMIRTRANSPORTER</t>
  </si>
  <si>
    <t>NO002803271610</t>
  </si>
  <si>
    <t>NO002803075110</t>
  </si>
  <si>
    <t>NO002803123720</t>
  </si>
  <si>
    <t>NO21400,18</t>
  </si>
  <si>
    <t>HOCINEADBLU</t>
  </si>
  <si>
    <t>no002802805115</t>
  </si>
  <si>
    <t>no002802952150</t>
  </si>
  <si>
    <t>no1913592,29</t>
  </si>
  <si>
    <t>3afood</t>
  </si>
  <si>
    <t>samirgasoiletadblu</t>
  </si>
  <si>
    <t>LEMAGHREB</t>
  </si>
  <si>
    <t>CHIKENFRENZY</t>
  </si>
  <si>
    <t>FRANPRIXSAVU</t>
  </si>
  <si>
    <t>COTEPIGALLE</t>
  </si>
  <si>
    <t>Kashmirexpress</t>
  </si>
  <si>
    <t>BibimElancourt</t>
  </si>
  <si>
    <t>boulangerielespoètes</t>
  </si>
  <si>
    <t>caissedepargne</t>
  </si>
  <si>
    <t>MCVLAVILLETTE</t>
  </si>
  <si>
    <t>BRNTASTY</t>
  </si>
  <si>
    <t>SarlTAMASINI</t>
  </si>
  <si>
    <t>ZHONGJIEXIA</t>
  </si>
  <si>
    <t>DELICEHOUSESUSHIWASABI</t>
  </si>
  <si>
    <t>retourhoucine</t>
  </si>
  <si>
    <t>ARGENSONETSEPTARPENTS</t>
  </si>
  <si>
    <t>LAROTISSERIE</t>
  </si>
  <si>
    <t>CookandFood</t>
  </si>
  <si>
    <t>premierfood</t>
  </si>
  <si>
    <t>stephanedelalande</t>
  </si>
  <si>
    <t>paypal+cash</t>
  </si>
  <si>
    <t>LEOMINATCHY</t>
  </si>
  <si>
    <t>LEMAMOUNIACHEZZINEB</t>
  </si>
  <si>
    <t>CHERRYGARDENS</t>
  </si>
  <si>
    <t>CHIKINCERGY</t>
  </si>
  <si>
    <t>DavidRobillard</t>
  </si>
  <si>
    <t>LesTurbines</t>
  </si>
  <si>
    <t>LECHINOISGOURMET</t>
  </si>
  <si>
    <t>DELICEDEBEYROUTHIHLIBAN</t>
  </si>
  <si>
    <t>ChezPAUL</t>
  </si>
  <si>
    <t>KFEKaptainFry</t>
  </si>
  <si>
    <t>THEKITCHENEATMEATPARIS</t>
  </si>
  <si>
    <t>Chulavista</t>
  </si>
  <si>
    <t>KINGFOOD</t>
  </si>
  <si>
    <t>NEHAAUBERVILLER(chickenspot)</t>
  </si>
  <si>
    <t>LESSAVEURSDEGRETZ</t>
  </si>
  <si>
    <t>ArnaudLlinares</t>
  </si>
  <si>
    <t>THEBEANPROJECTPARIS</t>
  </si>
  <si>
    <t>MozzafiatoParis</t>
  </si>
  <si>
    <t>SARLPESNEL</t>
  </si>
  <si>
    <t>SPICE'N'GRILLRestaurant</t>
  </si>
  <si>
    <t>IlyesElMorabit</t>
  </si>
  <si>
    <t>19/12/190004:19:12</t>
  </si>
  <si>
    <t>SHAMEEM(Chickenspot)</t>
  </si>
  <si>
    <t>SASBoulangeriemaisondessaveurs</t>
  </si>
  <si>
    <t>jadalrayes</t>
  </si>
  <si>
    <t>CRAZYPIMENT2</t>
  </si>
  <si>
    <t>no002802554130</t>
  </si>
  <si>
    <t>no002802754215</t>
  </si>
  <si>
    <t>no002802601860</t>
  </si>
  <si>
    <t>no94772,85</t>
  </si>
  <si>
    <t>maxchic</t>
  </si>
  <si>
    <t>SKANDERGASOIL(RENDU)</t>
  </si>
  <si>
    <t>rembursmentclient</t>
  </si>
  <si>
    <t>ahmedpeage</t>
  </si>
  <si>
    <t>SARLWANOBI</t>
  </si>
  <si>
    <t>MCVFAIDHERBE</t>
  </si>
  <si>
    <t>ANCIENPAIEMENT</t>
  </si>
  <si>
    <t>RELAISD'OR</t>
  </si>
  <si>
    <t>PIZZERIAVIVALDI</t>
  </si>
  <si>
    <t>EURLHE</t>
  </si>
  <si>
    <t>RAPIDEFOOD</t>
  </si>
  <si>
    <t>VCCROUSTYFAMILY</t>
  </si>
  <si>
    <t>RETOURGASOILSKANDER</t>
  </si>
  <si>
    <t>GARBACHAUD</t>
  </si>
  <si>
    <t>ESCOMPANY</t>
  </si>
  <si>
    <t>ANOUAR</t>
  </si>
  <si>
    <t>LEKINKS</t>
  </si>
  <si>
    <t>BETAFOOD</t>
  </si>
  <si>
    <t>JKDISTRIBUTION</t>
  </si>
  <si>
    <t>CROUSTYFAMILY</t>
  </si>
  <si>
    <t>CHARLES</t>
  </si>
  <si>
    <t>VANAPRIL</t>
  </si>
  <si>
    <t>MAMIFOOD</t>
  </si>
  <si>
    <t>no002802354345</t>
  </si>
  <si>
    <t>no002802404740</t>
  </si>
  <si>
    <t>no93332,54</t>
  </si>
  <si>
    <t>ausundine</t>
  </si>
  <si>
    <t>samirgasoil</t>
  </si>
  <si>
    <t>sobicashextra</t>
  </si>
  <si>
    <t>CHEZMIMI</t>
  </si>
  <si>
    <t>BOULANGERIECAJAN</t>
  </si>
  <si>
    <t>BrahimChammakhi</t>
  </si>
  <si>
    <t>RedhaDJAMA</t>
  </si>
  <si>
    <t>SUSHIYAKI</t>
  </si>
  <si>
    <t>enlevementsurplace</t>
  </si>
  <si>
    <t>BENAYADMOHAMED</t>
  </si>
  <si>
    <t>DreamFactory</t>
  </si>
  <si>
    <t>NEWSOULFOOD</t>
  </si>
  <si>
    <t>AR-Chickenspot</t>
  </si>
  <si>
    <t>TorabMaroof</t>
  </si>
  <si>
    <t>AntoinePeresse</t>
  </si>
  <si>
    <t>SarlSAMIE(Chickenspot)</t>
  </si>
  <si>
    <t>halalcourse6278</t>
  </si>
  <si>
    <t>COVASERVICES</t>
  </si>
  <si>
    <t>BKGroupe</t>
  </si>
  <si>
    <t>LACREMEDEPARISEntreprise</t>
  </si>
  <si>
    <t>LECARIBEENRESTAURENT</t>
  </si>
  <si>
    <t>no002802204440</t>
  </si>
  <si>
    <t>no002802152270</t>
  </si>
  <si>
    <t>no106723,37</t>
  </si>
  <si>
    <t>HOTPIZZA77</t>
  </si>
  <si>
    <t>zaheralkhubi</t>
  </si>
  <si>
    <t>RESTOBEYROUTH</t>
  </si>
  <si>
    <t>RobertAsseraf</t>
  </si>
  <si>
    <t>MCVDumas</t>
  </si>
  <si>
    <t>EXTRASARLSTEABRAJ</t>
  </si>
  <si>
    <t>retourgasoil</t>
  </si>
  <si>
    <t>CHICKENHOTETPIZZA</t>
  </si>
  <si>
    <t>FahadMuhammad</t>
  </si>
  <si>
    <t>DEDAMASABEYROUTH</t>
  </si>
  <si>
    <t>LAFRAICHEUR</t>
  </si>
  <si>
    <t>GIEMF</t>
  </si>
  <si>
    <t>SASUBERTHE</t>
  </si>
  <si>
    <t>LESTROISAMIS</t>
  </si>
  <si>
    <t>ALAFOLIEPARIS</t>
  </si>
  <si>
    <t>facture02/04</t>
  </si>
  <si>
    <t>O'CroustiTime</t>
  </si>
  <si>
    <t>SARLLE59</t>
  </si>
  <si>
    <t>LaurentBourdindiXlo</t>
  </si>
  <si>
    <t>GuillaumeCourtois</t>
  </si>
  <si>
    <t>no002801986490</t>
  </si>
  <si>
    <t>no002801832000</t>
  </si>
  <si>
    <t>no002802005200</t>
  </si>
  <si>
    <t>no31582,95</t>
  </si>
  <si>
    <t>buffetgare</t>
  </si>
  <si>
    <t>skandersamdi</t>
  </si>
  <si>
    <t>houcinegasoil</t>
  </si>
  <si>
    <t>no002797563480</t>
  </si>
  <si>
    <t>no00280784660</t>
  </si>
  <si>
    <t>no135447,35</t>
  </si>
  <si>
    <t>houcineacompte</t>
  </si>
  <si>
    <t>acompteyahya</t>
  </si>
  <si>
    <t>lapyramide</t>
  </si>
  <si>
    <t>ancreperie</t>
  </si>
  <si>
    <t>ancienpaiement</t>
  </si>
  <si>
    <t>pandaexpress</t>
  </si>
  <si>
    <t>kchimaek</t>
  </si>
  <si>
    <t>mcvdaumesnil</t>
  </si>
  <si>
    <t>delicedebeyrouth</t>
  </si>
  <si>
    <t>victoria168</t>
  </si>
  <si>
    <t>cotepigalle</t>
  </si>
  <si>
    <t>boulangeriemehdaoui</t>
  </si>
  <si>
    <t>lewarner</t>
  </si>
  <si>
    <t>extran-c-f</t>
  </si>
  <si>
    <t>FIZAN</t>
  </si>
  <si>
    <t>KDGDISTRIBUTION</t>
  </si>
  <si>
    <t>S,A,S,HASSANIGROSSISTE</t>
  </si>
  <si>
    <t>S,A,R,L,SMASHSMASH78</t>
  </si>
  <si>
    <t>KANDALALKHALFIABDELADIM</t>
  </si>
  <si>
    <t>SUSHI+SNACKFOOD</t>
  </si>
  <si>
    <t>S,A,S,CHEZNINOUFASTFOOD</t>
  </si>
  <si>
    <t>CHULAVISTA</t>
  </si>
  <si>
    <t>BIBO</t>
  </si>
  <si>
    <t>FUTURSOLEIL</t>
  </si>
  <si>
    <t>CHICKENASIA</t>
  </si>
  <si>
    <t>VIVAUNGUTORIENTALE</t>
  </si>
  <si>
    <t>MOUSTACHEETF</t>
  </si>
  <si>
    <t>CHICKENSTATE</t>
  </si>
  <si>
    <t>SASCHEZGEORGIO</t>
  </si>
  <si>
    <t>SASSASUBERTHE</t>
  </si>
  <si>
    <t>KAPTAINFRY</t>
  </si>
  <si>
    <t>VARS94</t>
  </si>
  <si>
    <t>CREP,S</t>
  </si>
  <si>
    <t>JBGMARGUERITE</t>
  </si>
  <si>
    <t>ATS</t>
  </si>
  <si>
    <t>NADAL-SOCIETED'EXPLOITATIONDEDISTRIBUTEURSAUTOMATIQUES-N</t>
  </si>
  <si>
    <t>VIANEXNORD</t>
  </si>
  <si>
    <t>WOKFACTORY</t>
  </si>
  <si>
    <t>AXN</t>
  </si>
  <si>
    <t>GOWOK</t>
  </si>
  <si>
    <t>SASLPC</t>
  </si>
  <si>
    <t>ASIANFOODLAB</t>
  </si>
  <si>
    <t>THAI-MING</t>
  </si>
  <si>
    <t>SRSCHICKENSPOT</t>
  </si>
  <si>
    <t>VILLEJUIFSPOT</t>
  </si>
  <si>
    <t>FRIENDSSPOT</t>
  </si>
  <si>
    <t>SOBICASH</t>
  </si>
  <si>
    <t>BOULANGERIEDEL</t>
  </si>
  <si>
    <t>ESPACEDASARL</t>
  </si>
  <si>
    <t>LEBONMANGEUR</t>
  </si>
  <si>
    <t>HOLDING</t>
  </si>
  <si>
    <t>BHT</t>
  </si>
  <si>
    <t>PITADINEPUTEAUX</t>
  </si>
  <si>
    <t>SASGARBACHAUDLACOURNEUVE</t>
  </si>
  <si>
    <t>SARLBPCT</t>
  </si>
  <si>
    <t>SPICENGRILL</t>
  </si>
  <si>
    <t>MHS</t>
  </si>
  <si>
    <t>LESBONNESBOUTEILLES</t>
  </si>
  <si>
    <t>NODIS95</t>
  </si>
  <si>
    <t>SUSHIBOX</t>
  </si>
  <si>
    <t>PIFOOD</t>
  </si>
  <si>
    <t>BONLIBAN</t>
  </si>
  <si>
    <t>SARLCOMBESDISTRIBUTION</t>
  </si>
  <si>
    <t>SASGAQUERE</t>
  </si>
  <si>
    <t>FRANCEAUSTRALE</t>
  </si>
  <si>
    <t>SASWF</t>
  </si>
  <si>
    <t>MERIAMELYAZYDYBENAAMER</t>
  </si>
  <si>
    <t>SARLCOVASERVICES</t>
  </si>
  <si>
    <t>CM74</t>
  </si>
  <si>
    <t>S,A,R,L,THEWORLD</t>
  </si>
  <si>
    <t>LAFAMILIA</t>
  </si>
  <si>
    <t>MAJADIS</t>
  </si>
  <si>
    <t>DIEUNETOUSSAINT</t>
  </si>
  <si>
    <t>S,A,R,L,SARLAGAPE</t>
  </si>
  <si>
    <t>HEXAGLOBE</t>
  </si>
  <si>
    <t>LUNA</t>
  </si>
  <si>
    <t>SASTENDERSBROTHERS</t>
  </si>
  <si>
    <t>DELICEDESZAMI</t>
  </si>
  <si>
    <t>CAFELESTURBINES</t>
  </si>
  <si>
    <t>O,CROUSTITIMESASU</t>
  </si>
  <si>
    <t>S,A,R,L,CHICKENSQUARE</t>
  </si>
  <si>
    <t>DELPIDIS</t>
  </si>
  <si>
    <t>COMPAGNIEABDAOUI</t>
  </si>
  <si>
    <t>CRAZYPIMENT</t>
  </si>
  <si>
    <t>DISPROFRANCE</t>
  </si>
  <si>
    <t>BKGROUPE</t>
  </si>
  <si>
    <t>LAROSEDEBERGERAC</t>
  </si>
  <si>
    <t>UNTH</t>
  </si>
  <si>
    <t>RANY</t>
  </si>
  <si>
    <t>MLLEFANGZHENG</t>
  </si>
  <si>
    <t>O,MENS</t>
  </si>
  <si>
    <t>WOKTHAI</t>
  </si>
  <si>
    <t>SASLORIGINAL</t>
  </si>
  <si>
    <t>SARLB,KFACTORY</t>
  </si>
  <si>
    <t>SARLKINGFOOD</t>
  </si>
  <si>
    <t>S,A,S,BUSINESSCOMPANY</t>
  </si>
  <si>
    <t>SASMARYAM</t>
  </si>
  <si>
    <t>MOZZAFIATOPARIS</t>
  </si>
  <si>
    <t>HAKFOOD</t>
  </si>
  <si>
    <t>COFRAGELSARL</t>
  </si>
  <si>
    <t>S,A,R,L,L,ERABLEROUGE</t>
  </si>
  <si>
    <t>GOKROUSTY</t>
  </si>
  <si>
    <t>sushikekkoo</t>
  </si>
  <si>
    <t>scone</t>
  </si>
  <si>
    <t>sushi&amp;snack</t>
  </si>
  <si>
    <t>sarlenes</t>
  </si>
  <si>
    <t>bsypt</t>
  </si>
  <si>
    <t>wokfactory</t>
  </si>
  <si>
    <t>chickenspotfresnes</t>
  </si>
  <si>
    <t>ichifansushisakura</t>
  </si>
  <si>
    <t>lesturbines</t>
  </si>
  <si>
    <t>falafelcity</t>
  </si>
  <si>
    <t>chickenstate</t>
  </si>
  <si>
    <t>no002797962000</t>
  </si>
  <si>
    <t>no002797762190</t>
  </si>
  <si>
    <t>no002797614200</t>
  </si>
  <si>
    <t>no002797811780</t>
  </si>
  <si>
    <t>no32324,01</t>
  </si>
  <si>
    <t>HOCINEGASOIL</t>
  </si>
  <si>
    <t>SKANDERGASOIL</t>
  </si>
  <si>
    <t>ZOUHIRACOMPTE</t>
  </si>
  <si>
    <t>YAHYARENDUARGENT</t>
  </si>
  <si>
    <t>SONIAACOMPTE</t>
  </si>
  <si>
    <t>ABUBAKARGASOIL</t>
  </si>
  <si>
    <t>AHMEDACOMPTE</t>
  </si>
  <si>
    <t>VIFZAEKA</t>
  </si>
  <si>
    <t>PAYECBLIEN</t>
  </si>
  <si>
    <t>THAIMING</t>
  </si>
  <si>
    <t>NEHAAUBERVILLIERS</t>
  </si>
  <si>
    <t>ESPACEDA</t>
  </si>
  <si>
    <t>PLANETEDA</t>
  </si>
  <si>
    <t>SARLFRIED</t>
  </si>
  <si>
    <t>DREAMFACTORY</t>
  </si>
  <si>
    <t>no002798132130</t>
  </si>
  <si>
    <t>no002798084770</t>
  </si>
  <si>
    <t>no104466,21</t>
  </si>
  <si>
    <t>HUGOGAO</t>
  </si>
  <si>
    <t>DELICEHOUSE</t>
  </si>
  <si>
    <t>SASLATIF</t>
  </si>
  <si>
    <t>PFBABYLONE</t>
  </si>
  <si>
    <t>VIVAUNGUT</t>
  </si>
  <si>
    <t>CREPESURMESURE</t>
  </si>
  <si>
    <t>NEHASTDENIS</t>
  </si>
  <si>
    <t>ROMANTIQUESGUILLAUMECOURTOIS</t>
  </si>
  <si>
    <t>SUSHI&amp;SNACK</t>
  </si>
  <si>
    <t>STREETFOODHEAVEN</t>
  </si>
  <si>
    <t>CAIXAGERAL</t>
  </si>
  <si>
    <t>EXTRASURPLACE</t>
  </si>
  <si>
    <t>SASUZOYA</t>
  </si>
  <si>
    <t>SNCTABACDUTROCADERO</t>
  </si>
  <si>
    <t>SUSHIHANDGROUP</t>
  </si>
  <si>
    <t>leblouge</t>
  </si>
  <si>
    <t>FrédéricJamoteau</t>
  </si>
  <si>
    <t>SMASHHIT</t>
  </si>
  <si>
    <t>O'Tacos-MCLDISTRIBUTIONLAUDIERCharles</t>
  </si>
  <si>
    <t>LUKSPARIS8</t>
  </si>
  <si>
    <t>LeMomentDePartage</t>
  </si>
  <si>
    <t>etoile(18eme)</t>
  </si>
  <si>
    <t>ventesurplace</t>
  </si>
  <si>
    <t>ventelivraison</t>
  </si>
  <si>
    <t>CHICKENSPOT</t>
  </si>
  <si>
    <t>SARLBKK1</t>
  </si>
  <si>
    <t>LEFKA</t>
  </si>
  <si>
    <t>S,A,R,L,LAFRITEDUNORD</t>
  </si>
  <si>
    <t>ELMAHIRESTAURANT</t>
  </si>
  <si>
    <t>DELICESDEBEYROUTH</t>
  </si>
  <si>
    <t>TORINO</t>
  </si>
  <si>
    <t>EIFFELBAR</t>
  </si>
  <si>
    <t>SASH,A</t>
  </si>
  <si>
    <t>SARLKBOCONCEPT</t>
  </si>
  <si>
    <t>F,L,A,SARL</t>
  </si>
  <si>
    <t>AUFFRESCU</t>
  </si>
  <si>
    <t>M,AREZKIHANDALA</t>
  </si>
  <si>
    <t>SRKDISTRIBUTION</t>
  </si>
  <si>
    <t>MFMO</t>
  </si>
  <si>
    <t>DAMEYO</t>
  </si>
  <si>
    <t>DISTRIBCENTER</t>
  </si>
  <si>
    <t>LACREPESURMESURE</t>
  </si>
  <si>
    <t>VK</t>
  </si>
  <si>
    <t>57FAUBOURG9</t>
  </si>
  <si>
    <t>S,A,S,TACOMAX</t>
  </si>
  <si>
    <t>SASASA</t>
  </si>
  <si>
    <t>REV,</t>
  </si>
  <si>
    <t>TOKYORAMAPOKE</t>
  </si>
  <si>
    <t>PL</t>
  </si>
  <si>
    <t>AUROYAMEDEL,ORIENTALSARL</t>
  </si>
  <si>
    <t>KIITCH</t>
  </si>
  <si>
    <t>OCROUSTY</t>
  </si>
  <si>
    <t>STOCKHALDISTRIBUTION</t>
  </si>
  <si>
    <t>BSY</t>
  </si>
  <si>
    <t>SASAUFFRESCU</t>
  </si>
  <si>
    <t>SHAM,SFOOD</t>
  </si>
  <si>
    <t>LOTUSPROVENCE</t>
  </si>
  <si>
    <t>SUSHIKEKKOO</t>
  </si>
  <si>
    <t>LESFRANGAN</t>
  </si>
  <si>
    <t>FRUITLUX</t>
  </si>
  <si>
    <t>KEVIN</t>
  </si>
  <si>
    <t>FALAFELCITY</t>
  </si>
  <si>
    <t>EAGBSARL</t>
  </si>
  <si>
    <t>LASCALA,S</t>
  </si>
  <si>
    <t>LEADERBENSARL</t>
  </si>
  <si>
    <t>KOOLMARKET</t>
  </si>
  <si>
    <t>FRANCILIENNEDE</t>
  </si>
  <si>
    <t>BHPARTNERS</t>
  </si>
  <si>
    <t>CHRISTOPHECREVEL</t>
  </si>
  <si>
    <t>S,A,S,FMDAROMMATIC</t>
  </si>
  <si>
    <t>KGDISTRIBUTION01+</t>
  </si>
  <si>
    <t>LAPAUSE71</t>
  </si>
  <si>
    <t>BDA</t>
  </si>
  <si>
    <t>S,A,S,DISTRIDRINKS</t>
  </si>
  <si>
    <t>SORAYATARFAIAEI</t>
  </si>
  <si>
    <t>CEDAF</t>
  </si>
  <si>
    <t>TACOSDISTRIBUTI</t>
  </si>
  <si>
    <t>ZIGZAGSAS</t>
  </si>
  <si>
    <t>SARLCLEOPATRE</t>
  </si>
  <si>
    <t>OGARDEN</t>
  </si>
  <si>
    <t>SASELYFOOD</t>
  </si>
  <si>
    <t>SARLEPICERIEDU</t>
  </si>
  <si>
    <t>LEQUETZAL</t>
  </si>
  <si>
    <t>SASPOULAINDISTRIBUTION</t>
  </si>
  <si>
    <t>MESTERPOULET</t>
  </si>
  <si>
    <t>WAWASMASHBURGER</t>
  </si>
  <si>
    <t>SASLESFRERESGERMAIN</t>
  </si>
  <si>
    <t>LEADERSUSHI</t>
  </si>
  <si>
    <t>SARLFOOD22</t>
  </si>
  <si>
    <t>ZERPACK</t>
  </si>
  <si>
    <t>CARIBEENBMCORPORATION</t>
  </si>
  <si>
    <t>JOEBURGER</t>
  </si>
  <si>
    <t>ORIGINES</t>
  </si>
  <si>
    <t>SARLRUCOLA</t>
  </si>
  <si>
    <t>AADAM</t>
  </si>
  <si>
    <t>TRANSPORTBACOS97</t>
  </si>
  <si>
    <t>S,A,R,L,CHRISTEPHLENOTREDAME</t>
  </si>
  <si>
    <t>ASSILAK</t>
  </si>
  <si>
    <t>SMASHLANNION</t>
  </si>
  <si>
    <t>OUMIFOOD</t>
  </si>
  <si>
    <t>MENDSSA</t>
  </si>
  <si>
    <t>DA43</t>
  </si>
  <si>
    <t>JADAK</t>
  </si>
  <si>
    <t>ALAFOLIESAS</t>
  </si>
  <si>
    <t>SASLATERRASSEDU7EME</t>
  </si>
  <si>
    <t>SARLV,V</t>
  </si>
  <si>
    <t>SARLENES</t>
  </si>
  <si>
    <t>S,A,R,L,GOGUEYDISTRIBUTION</t>
  </si>
  <si>
    <t>RUORU1391,3326/03</t>
  </si>
  <si>
    <t>KDISTRIBUTION7959,1324/03</t>
  </si>
  <si>
    <t>FRITESDOREE20471,2220/03</t>
  </si>
  <si>
    <t>KDISTRIBUTION8486,4413/03</t>
  </si>
  <si>
    <t>FRITESDOREES29244,6011/03</t>
  </si>
  <si>
    <t>A,M,C,</t>
  </si>
  <si>
    <t>M,Comptoir</t>
  </si>
  <si>
    <t>A,M</t>
  </si>
  <si>
    <t>CAPPADOCE</t>
  </si>
  <si>
    <t>c0993</t>
  </si>
  <si>
    <t>c3318</t>
  </si>
  <si>
    <t>bombay</t>
  </si>
  <si>
    <t>C9997</t>
  </si>
  <si>
    <t>VC</t>
  </si>
  <si>
    <t>C7743</t>
  </si>
  <si>
    <t>UNIVERSAL</t>
  </si>
  <si>
    <t>c6534</t>
  </si>
  <si>
    <t>c6108</t>
  </si>
  <si>
    <t>c7027</t>
  </si>
  <si>
    <t>c6482</t>
  </si>
  <si>
    <t>c1403</t>
  </si>
  <si>
    <t>c1971</t>
  </si>
  <si>
    <t>c5510</t>
  </si>
  <si>
    <t>c5877</t>
  </si>
  <si>
    <t>c1409</t>
  </si>
  <si>
    <t>c9999</t>
  </si>
  <si>
    <t>c4602</t>
  </si>
  <si>
    <t>c7801</t>
  </si>
  <si>
    <t>ANATOLIEN</t>
  </si>
  <si>
    <t>c1547</t>
  </si>
  <si>
    <t>OSV</t>
  </si>
  <si>
    <t>mnh</t>
  </si>
  <si>
    <t>c4474</t>
  </si>
  <si>
    <t>c7671</t>
  </si>
  <si>
    <t>c5762</t>
  </si>
  <si>
    <t>c7483</t>
  </si>
  <si>
    <t>c3208</t>
  </si>
  <si>
    <t>c7596</t>
  </si>
  <si>
    <t>c7744</t>
  </si>
  <si>
    <t>c3404</t>
  </si>
  <si>
    <t>c4299</t>
  </si>
  <si>
    <t>erreur</t>
  </si>
  <si>
    <t>C1403</t>
  </si>
  <si>
    <t>C4927</t>
  </si>
  <si>
    <t>C653</t>
  </si>
  <si>
    <t>C5729</t>
  </si>
  <si>
    <t>SKANDER</t>
  </si>
  <si>
    <t>C5863</t>
  </si>
  <si>
    <t>C1465</t>
  </si>
  <si>
    <t>C4379</t>
  </si>
  <si>
    <t>C6881</t>
  </si>
  <si>
    <t>12/03/2026PaiementDCC:SodaryKHAMPRASEUTHTerminé</t>
  </si>
  <si>
    <t>12/03/2026PaiementExpressCheckout:faridboudiharTerminé</t>
  </si>
  <si>
    <t>12/03/2026PaiementDCC:ThiNhatHaNGUYENTerminé</t>
  </si>
  <si>
    <t>14/03/2026PaiementExpressCheckout:NinaMetoudiTerminé</t>
  </si>
  <si>
    <t>15/03/2026PaiementDCC:PascalPapillonTerminé</t>
  </si>
  <si>
    <t>15/03/2026PaiementDCC:SASToliaTerminé</t>
  </si>
  <si>
    <t>PaiementDCC:LESMARMITESDECATHY
16/03/2026PEROZZIELLOAlexandreTerminé</t>
  </si>
  <si>
    <t>16/03/2026PaiementDCC:VaughnJanesTerminé</t>
  </si>
  <si>
    <t>16/03/2026PaiementExpressCheckout:akramchammamTerminé</t>
  </si>
  <si>
    <t>17/03/2026PaiementDCC:GolamAzamTerminé</t>
  </si>
  <si>
    <t>17/03/2026PaiementExpressCheckout:AnélineCayezTerminé</t>
  </si>
  <si>
    <t>18/03/2026PaiementDCC:AkbarKhanTerminé</t>
  </si>
  <si>
    <t>19/03/2026PaiementDCC:PriyankaTadeTerminé</t>
  </si>
  <si>
    <t>20/03/2026PaiementDCC:HediBouzidiTerminé</t>
  </si>
  <si>
    <t>21/03/2026PaiementDCC:SodaryKHAMPRASEUTHTerminé</t>
  </si>
  <si>
    <t>22/03/2026PaiementDCC:lassaadbendaaliTerminé</t>
  </si>
  <si>
    <t>22/03/2026PaiementDCC:IlyesElMorabitTerminé</t>
  </si>
  <si>
    <t>23/03/2026PaiementDCC:FrédéricPARENTTerminé</t>
  </si>
  <si>
    <t>23/03/2026PaiementDCC:GolamAzamTerminé</t>
  </si>
  <si>
    <t>24/03/2026PaiementDCC:YANNICKKFECHOCTerminé</t>
  </si>
  <si>
    <t>24/03/2026PaiementDCC:andreleleuTerminé</t>
  </si>
  <si>
    <t>24/03/2026PaiementDCC:OmarAlbatinTerminé</t>
  </si>
  <si>
    <t>PaiementExpressCheckout:SANDRINE
24/03/2026QUEVILLONTerminé
Identifiant:43C22519C2675141J</t>
  </si>
  <si>
    <t>24/03/2026VirementbancairesurlecomptePayPalTerminé</t>
  </si>
  <si>
    <t>25/03/2026PaiementExpressCheckout:SylvainApparuTerminé</t>
  </si>
  <si>
    <t>28/03/2026PaiementDCC:VincentLouwTerminé</t>
  </si>
  <si>
    <t>28/03/2026PaiementDCC:GolamAzamTerminé</t>
  </si>
  <si>
    <t>PaiementExpressCheckout:Karthikesan
29/03/2026VINAYAGAMOORTHYTerminé
Identifiant:85V94510YN265371W</t>
  </si>
  <si>
    <t>29/03/2026PaiementDCC:KrunchySarcellesTerminé</t>
  </si>
  <si>
    <t>29/03/2026PaiementDCC:SASToliaTerminé</t>
  </si>
  <si>
    <t>30/03/2026PaiementDCC:GuillaumeMartinTerminé</t>
  </si>
  <si>
    <t>30/03/2026PaiementDCC:SéverineRichardTerminé</t>
  </si>
  <si>
    <t>30/03/2026PaiementDCC:AHMEDFADELTerminé</t>
  </si>
  <si>
    <t>30/03/2026PaiementDCC:ArnaudLlinaresTerminé</t>
  </si>
  <si>
    <t>30/03/2026PaiementDCC:ZakariaABDALLAHTerminé</t>
  </si>
  <si>
    <t>31/03/2026PaiementDCC:tomerbrainenbergTerminé</t>
  </si>
  <si>
    <t>31/03/2026PaiementDCC:BekaGolodzeTerminé</t>
  </si>
  <si>
    <t>01/04/2026PaiementDCC:VincentLouwTerminé</t>
  </si>
  <si>
    <t>01/04/2026PaiementDCC:MohammedBodrulIslamTerminé</t>
  </si>
  <si>
    <t>01/04/2026PaiementDCC:lassaadbendaaliTerminé</t>
  </si>
  <si>
    <t>02/04/2026PaiementDCC:FARIDBOUDIHARTerminé</t>
  </si>
  <si>
    <t>02/04/2026PaiementDCC:ArnaudLlinaresTerminé</t>
  </si>
  <si>
    <t>02/04/2026PaiementExpressCheckout:AnélineCayezTerminé</t>
  </si>
  <si>
    <t>02/04/2026PaiementDCC:MOKAMKITCHENTerminé</t>
  </si>
  <si>
    <t>03/04/2026PaiementDCC:JADFARESTerminé</t>
  </si>
  <si>
    <t>PaiementExpressCheckout:SANDRINE
03/04/2026QUEVILLONTerminé
Identifiant:8U304600EN874002P</t>
  </si>
  <si>
    <t>03/04/2026PaiementDCC:OmarAlbatinTerminé</t>
  </si>
  <si>
    <t>03/04/2026PaiementExpressCheckout:akramchammamTerminé</t>
  </si>
  <si>
    <t>05/04/2026PaiementDCC:ChikinBangTerminé</t>
  </si>
  <si>
    <t>05/04/2026PaiementDCC:DavidRobillardTerminé</t>
  </si>
  <si>
    <t>05/04/2026PaiementDCC:VincentLouwTerminé</t>
  </si>
  <si>
    <t>05/04/2026PaiementExpressCheckout:GeraldineDansouTerminé</t>
  </si>
  <si>
    <t>07/04/2026PaiementDCC:YounesZatouTerminé</t>
  </si>
  <si>
    <t>08/04/2026PaiementDCC:LaurentBourdindiXloTerminé</t>
  </si>
  <si>
    <t>09/04/2026PaiementDCC:SodaryKHAMPRASEUTHTerminé</t>
  </si>
  <si>
    <t>09/04/2026PaiementDCC:BekaGolodzeTerminé</t>
  </si>
  <si>
    <t>09/04/2026PaiementDCC:ArnaudLlinaresTerminé</t>
  </si>
  <si>
    <t>10/04/2026PaiementDCC:HediBouzidiTerminé</t>
  </si>
  <si>
    <t>11/04/2026PaiementDCC:lassaadbendaaliTerminé</t>
  </si>
  <si>
    <t>11/04/2026PaiementDCC:MaximeRivatTerminé</t>
  </si>
  <si>
    <t>no002798335295</t>
  </si>
  <si>
    <t>no002798282190</t>
  </si>
  <si>
    <t>no75871,81</t>
  </si>
  <si>
    <t>skandargasoil</t>
  </si>
  <si>
    <t>abubakarrestsalarymars2026</t>
  </si>
  <si>
    <t>livraisondu10/04</t>
  </si>
  <si>
    <t>Mosquéé18/02</t>
  </si>
  <si>
    <t>no002798533735</t>
  </si>
  <si>
    <t>no1514073,27</t>
  </si>
  <si>
    <t>abubakargasoil351camionlivraisin</t>
  </si>
  <si>
    <t>remboursmentgasoilyahya</t>
  </si>
  <si>
    <t>idreessb</t>
  </si>
  <si>
    <t>RannouchCity</t>
  </si>
  <si>
    <t>chamastacosguerrida</t>
  </si>
  <si>
    <t>retourgasoilaboubaker</t>
  </si>
  <si>
    <t>extra2044,54</t>
  </si>
  <si>
    <t>SUSHIGALEN</t>
  </si>
  <si>
    <t>SARLGOKAL</t>
  </si>
  <si>
    <t>ANOUARMATOUSSI</t>
  </si>
  <si>
    <t>FRITESDOREES</t>
  </si>
  <si>
    <t>ventecomptoirsurplace</t>
  </si>
  <si>
    <t>MARACUJAFOOD&amp;DRINKS</t>
  </si>
  <si>
    <t>no002798881880</t>
  </si>
  <si>
    <t>no002798686420</t>
  </si>
  <si>
    <t>no002798731845</t>
  </si>
  <si>
    <t>no42597,37</t>
  </si>
  <si>
    <t>3afoods</t>
  </si>
  <si>
    <t>hocinegasoil</t>
  </si>
  <si>
    <t>samirgasoiladblu</t>
  </si>
  <si>
    <t>leforentin</t>
  </si>
  <si>
    <t>ANCREPERIE</t>
  </si>
  <si>
    <t>anciennecommande</t>
  </si>
  <si>
    <t>Lapyramide</t>
  </si>
  <si>
    <t>CASAPRONTO</t>
  </si>
  <si>
    <t>reste264,65apayerparvirement</t>
  </si>
  <si>
    <t>O'CROUSTY</t>
  </si>
  <si>
    <t>PizzeriaSarda</t>
  </si>
  <si>
    <t>SASCASAPRONTO</t>
  </si>
  <si>
    <t>LAZIZA</t>
  </si>
  <si>
    <t>CASHMARKET</t>
  </si>
  <si>
    <t>COINCAFESARL</t>
  </si>
  <si>
    <t>REMODELACAOFRAGATAOESTEUNIPLDA</t>
  </si>
  <si>
    <t>LEBOEUFAUCOMPTOIR</t>
  </si>
  <si>
    <t>HABIBA</t>
  </si>
  <si>
    <t>MARACUJAFOOD</t>
  </si>
  <si>
    <t>GENERALFEED</t>
  </si>
  <si>
    <t>LES3LUMIERES</t>
  </si>
  <si>
    <t>PRIMO</t>
  </si>
  <si>
    <t>TOKYORAMA91190</t>
  </si>
  <si>
    <t>SARLICHIFANSUSHI</t>
  </si>
  <si>
    <t>TAYBAH</t>
  </si>
  <si>
    <t>CROUSTYCHICKENFOOD</t>
  </si>
  <si>
    <t>LYMANAGENCY</t>
  </si>
  <si>
    <t>WABAFOOD</t>
  </si>
  <si>
    <t>mahendranruhunaveni</t>
  </si>
  <si>
    <t>ThinhungNguyen</t>
  </si>
  <si>
    <t>CENTRALEFOOD</t>
  </si>
  <si>
    <t>CroustyTwo</t>
  </si>
  <si>
    <t>les5freres</t>
  </si>
  <si>
    <t>M,S</t>
  </si>
  <si>
    <t>S,A,S,MBFOOD</t>
  </si>
  <si>
    <t>DAVO-DISTRIBUTIONAUTOMATIQUEVALD,OISE</t>
  </si>
  <si>
    <t>S,A,S,DGDA</t>
  </si>
  <si>
    <t>S,A,R,L,ADOR</t>
  </si>
  <si>
    <t>ms food</t>
  </si>
  <si>
    <t>SRS CHICKEN SPOT (trembley)</t>
  </si>
  <si>
    <t>Ilyes El Morabit</t>
  </si>
  <si>
    <t>AL IHSAN</t>
  </si>
  <si>
    <t>C2581</t>
  </si>
  <si>
    <t>sarl fried chicken</t>
  </si>
  <si>
    <t>AL IHTIMAM BIM S</t>
  </si>
  <si>
    <t>C1213</t>
  </si>
  <si>
    <t>Chicken state</t>
  </si>
  <si>
    <t>VICTORIA 168</t>
  </si>
  <si>
    <t>SUSHI &amp; SNACK FOOD</t>
  </si>
  <si>
    <t>Delice du colisee</t>
  </si>
  <si>
    <t>C4561</t>
  </si>
  <si>
    <t>LE RELAIS D'OR</t>
  </si>
  <si>
    <t>MCV LA VILLETTE</t>
  </si>
  <si>
    <t>AU SUN DINE</t>
  </si>
  <si>
    <t>ALISHAN REST</t>
  </si>
  <si>
    <t>AHMED GASOIL</t>
  </si>
  <si>
    <t>ABU BAKAR GASOIL</t>
  </si>
  <si>
    <t>YOUSRA SALARY</t>
  </si>
  <si>
    <t>NO 01805004 2975</t>
  </si>
  <si>
    <t>NO 00279905 4125</t>
  </si>
  <si>
    <t>NO 00279910 1880</t>
  </si>
  <si>
    <t>NO 00279893 1270</t>
  </si>
  <si>
    <t>NO 8 4133,30</t>
  </si>
  <si>
    <t>12/04/2026    Paiement DCC: Krunchy  Sarcelles                              Terminé</t>
  </si>
  <si>
    <t>13/04/2026    Paiement Express Checkout: SARL EL DORADO       Terminé</t>
  </si>
  <si>
    <t>13/04/2026    Paiement DCC: Séverine Richard                                Terminé</t>
  </si>
  <si>
    <t>13/04/2026    Paiement DCC: Sodary KHAMPRASEUTH                 Terminé</t>
  </si>
  <si>
    <t>13/04/2026    Paiement DCC: Laura Sonzini                                      Terminé</t>
  </si>
  <si>
    <t>14/04/2026    Paiement DCC: Pascal Papillon                                   Terminé</t>
  </si>
  <si>
    <t>14/04/2026    Paiement DCC: Golam Azam                                       Terminé</t>
  </si>
  <si>
    <t>14/04/2026    Paiement Express Checkout: OUNISSA YAZID           Terminé</t>
  </si>
  <si>
    <t>Paiement Express Checkout: SANDRINE
14/04/2026    QUEVILLON                                                                 Terminé
Identifiant: 8HY534866X7790114</t>
  </si>
  <si>
    <t>17/04/2026    Paiement Express Checkout: thinhung nguyen            Terminé</t>
  </si>
  <si>
    <t>17/04/2026    Paiement DCC: mahendran ruhunaveni                       Terminé</t>
  </si>
  <si>
    <t>18/04/2026    Paiement DCC: Golam Azam                                       Terminé</t>
  </si>
  <si>
    <t>19/04/2026    Paiement DCC: David Robillard                                   Terminé</t>
  </si>
  <si>
    <t>19/04/2026    Paiement DCC: Amaury Cayez                                    Terminé</t>
  </si>
  <si>
    <t>19/04/2026    Paiement DCC: Krunchy  Sarcelles                              Terminé</t>
  </si>
  <si>
    <t>paypal + cash</t>
  </si>
  <si>
    <t>SAMIR GASOIL</t>
  </si>
  <si>
    <t>HOCINE LAVAGE</t>
  </si>
  <si>
    <t>O'Tacos-MCL DISTRIBUTION LAUDIER Charles</t>
  </si>
  <si>
    <t>c3287</t>
  </si>
  <si>
    <t>DISPRO France</t>
  </si>
  <si>
    <t>c6254</t>
  </si>
  <si>
    <t>COVA SERVICES</t>
  </si>
  <si>
    <t>Mami Food</t>
  </si>
  <si>
    <t>FRUIT LUX</t>
  </si>
  <si>
    <t>c3232</t>
  </si>
  <si>
    <t>Kashmir express</t>
  </si>
  <si>
    <t>Krunsh</t>
  </si>
  <si>
    <t>c7799</t>
  </si>
  <si>
    <t>facture du 16/04</t>
  </si>
  <si>
    <t>C1513</t>
  </si>
  <si>
    <t>la familia</t>
  </si>
  <si>
    <t>c4114</t>
  </si>
  <si>
    <t>c7742</t>
  </si>
  <si>
    <t>FARMER PARIS</t>
  </si>
  <si>
    <t>c5170</t>
  </si>
  <si>
    <t>sarl enes</t>
  </si>
  <si>
    <t>BK FAMILY</t>
  </si>
  <si>
    <t>c6643</t>
  </si>
  <si>
    <t>restaurant k- chimaek</t>
  </si>
  <si>
    <t>lassaad ben daali</t>
  </si>
  <si>
    <t>c6380</t>
  </si>
  <si>
    <t>Restaurant Van April</t>
  </si>
  <si>
    <t>SC ONE</t>
  </si>
  <si>
    <t>LES SAVEURS DE GRETZ</t>
  </si>
  <si>
    <t>BSY PT</t>
  </si>
  <si>
    <t>C6075</t>
  </si>
  <si>
    <t>LCL</t>
  </si>
  <si>
    <t>TAMKINE 1</t>
  </si>
  <si>
    <t>LE MAGHREB</t>
  </si>
  <si>
    <t>C3237</t>
  </si>
  <si>
    <t>Wok Factory</t>
  </si>
  <si>
    <t>C7634</t>
  </si>
  <si>
    <t>C7518</t>
  </si>
  <si>
    <t>GENERAL FEED</t>
  </si>
  <si>
    <t>C7165</t>
  </si>
  <si>
    <t>SPICE'N'GRILL Restaurant Halal Indien Moderne</t>
  </si>
  <si>
    <t>C3938</t>
  </si>
  <si>
    <t>STE ABRAJ</t>
  </si>
  <si>
    <t xml:space="preserve">SAMIR </t>
  </si>
  <si>
    <t>RETOUR GASIL</t>
  </si>
  <si>
    <t>C6263</t>
  </si>
  <si>
    <t>MRS DI NAPOLI</t>
  </si>
  <si>
    <t>SOIXANTE ET ONZE</t>
  </si>
  <si>
    <t>C7161</t>
  </si>
  <si>
    <t>MAX CHICKEN</t>
  </si>
  <si>
    <t>AMOR SAMDI</t>
  </si>
  <si>
    <t>HOUCINE GASOIL</t>
  </si>
  <si>
    <t>SAMIR LAVAGE</t>
  </si>
  <si>
    <t>SKANDAR GASOIL</t>
  </si>
  <si>
    <t>FIRDAWAS SALARIE</t>
  </si>
  <si>
    <t>AMOR GASOIL</t>
  </si>
  <si>
    <t>AMOR LAVAGE</t>
  </si>
  <si>
    <t>NO 01552712 3775</t>
  </si>
  <si>
    <t>NO 01552707 2080</t>
  </si>
  <si>
    <t>NO 8 4699,41</t>
  </si>
  <si>
    <t>c6973</t>
  </si>
  <si>
    <t>jk distribution</t>
  </si>
  <si>
    <t>surplace</t>
  </si>
  <si>
    <t>rendu remboursement jk monnaie</t>
  </si>
  <si>
    <t>Jim’s corner</t>
  </si>
  <si>
    <t>c7473</t>
  </si>
  <si>
    <t>COTE PIGALLE</t>
  </si>
  <si>
    <t>SHAMEEM (Chicken spot)</t>
  </si>
  <si>
    <t>FRANPRIX  SAVU</t>
  </si>
  <si>
    <t>LA ROTISSERIE</t>
  </si>
  <si>
    <t xml:space="preserve">halal course </t>
  </si>
  <si>
    <t>halal course 6287</t>
  </si>
  <si>
    <t>MCV FAIDHERBE</t>
  </si>
  <si>
    <t>c5144</t>
  </si>
  <si>
    <t>MCV Dumas</t>
  </si>
  <si>
    <t>AU LEVAIN</t>
  </si>
  <si>
    <t>c3647</t>
  </si>
  <si>
    <t>la poste</t>
  </si>
  <si>
    <t>BRN TASTY</t>
  </si>
  <si>
    <t>maxime stefanos</t>
  </si>
  <si>
    <t>EDEN QASIMI</t>
  </si>
  <si>
    <t>c7259</t>
  </si>
  <si>
    <t>frederic gicquel</t>
  </si>
  <si>
    <t>c7289</t>
  </si>
  <si>
    <t>saint georges France</t>
  </si>
  <si>
    <t>c6147</t>
  </si>
  <si>
    <t>Adbus Shahid  Muhammed</t>
  </si>
  <si>
    <t>c7821</t>
  </si>
  <si>
    <t>TENDERS BROTHERS</t>
  </si>
  <si>
    <t>BIDIT RISHEB</t>
  </si>
  <si>
    <t>c7756</t>
  </si>
  <si>
    <t>SANDRINE QUEVILLON</t>
  </si>
  <si>
    <t>c7692</t>
  </si>
  <si>
    <t>HOT PIZZA 77</t>
  </si>
  <si>
    <t>c1900</t>
  </si>
  <si>
    <t>selimex</t>
  </si>
  <si>
    <t>c6758</t>
  </si>
  <si>
    <t>c7161</t>
  </si>
  <si>
    <t>Shuaib cassim</t>
  </si>
  <si>
    <t>c6599</t>
  </si>
  <si>
    <t>expressomatik</t>
  </si>
  <si>
    <t>c2913</t>
  </si>
  <si>
    <t>Burger  Dpc</t>
  </si>
  <si>
    <t>c5076</t>
  </si>
  <si>
    <t>CROUSTY FAMILY</t>
  </si>
  <si>
    <t>c6294</t>
  </si>
  <si>
    <t>vente comptoir sur place</t>
  </si>
  <si>
    <t xml:space="preserve">crousty family </t>
  </si>
  <si>
    <t xml:space="preserve">samir retour lavage </t>
  </si>
  <si>
    <t xml:space="preserve">samir retour </t>
  </si>
  <si>
    <t>alishan rest</t>
  </si>
  <si>
    <t>ahmed gasoil</t>
  </si>
  <si>
    <t xml:space="preserve">samir lavage </t>
  </si>
  <si>
    <t>no 01552747 1950</t>
  </si>
  <si>
    <t>no 01552727 4560</t>
  </si>
  <si>
    <t>no 01552732 5955</t>
  </si>
  <si>
    <t>no 01552752 1655</t>
  </si>
  <si>
    <t>no 10 4049,31</t>
  </si>
  <si>
    <t>LE ROCHER</t>
  </si>
  <si>
    <t>LA PETITE PAUSE</t>
  </si>
  <si>
    <t>C6723</t>
  </si>
  <si>
    <t>C5170</t>
  </si>
  <si>
    <t>LI DISTRIBUTION</t>
  </si>
  <si>
    <t>Keanu Gilson</t>
  </si>
  <si>
    <t>C6106</t>
  </si>
  <si>
    <t>C6147</t>
  </si>
  <si>
    <t>LES DEMEURES DE L'AUBE</t>
  </si>
  <si>
    <t>C7149</t>
  </si>
  <si>
    <t>LE PARISIEN(Mohamed Soussi)</t>
  </si>
  <si>
    <t>C5705</t>
  </si>
  <si>
    <t>Royal food</t>
  </si>
  <si>
    <t>C6538</t>
  </si>
  <si>
    <t>Ahmed Bellahcene</t>
  </si>
  <si>
    <t>Dream pizza  And pastry</t>
  </si>
  <si>
    <t>C6842</t>
  </si>
  <si>
    <t>KFE Kaptain Fry</t>
  </si>
  <si>
    <t>Chicken Square</t>
  </si>
  <si>
    <t>C3086</t>
  </si>
  <si>
    <t>Sarl Cdr</t>
  </si>
  <si>
    <t>CHIKEN FRENZY</t>
  </si>
  <si>
    <t>C7637</t>
  </si>
  <si>
    <t>ZIG ZAG CAFE</t>
  </si>
  <si>
    <t>C6155</t>
  </si>
  <si>
    <t>Polydoros  Skliros</t>
  </si>
  <si>
    <t>C7824</t>
  </si>
  <si>
    <t>LILIANE &amp; ILIANE</t>
  </si>
  <si>
    <t>David Robillard</t>
  </si>
  <si>
    <t>C7745</t>
  </si>
  <si>
    <t>C4324</t>
  </si>
  <si>
    <t>MARGUERITE 04</t>
  </si>
  <si>
    <t>Le soleil d'or</t>
  </si>
  <si>
    <t>C4231</t>
  </si>
  <si>
    <t>LATIFA AFIF</t>
  </si>
  <si>
    <t>C5499</t>
  </si>
  <si>
    <t>ilann dardour</t>
  </si>
  <si>
    <t>C6801</t>
  </si>
  <si>
    <t>BOLLYWOOD</t>
  </si>
  <si>
    <t>C6653</t>
  </si>
  <si>
    <t>Artipain</t>
  </si>
  <si>
    <t>C3110</t>
  </si>
  <si>
    <t>C5276</t>
  </si>
  <si>
    <t>Fahad Muhammad</t>
  </si>
  <si>
    <t>EXTRA PALETTE</t>
  </si>
  <si>
    <t xml:space="preserve">EXTRA </t>
  </si>
  <si>
    <t>MCV Daumesnil</t>
  </si>
  <si>
    <t>C4494</t>
  </si>
  <si>
    <t>THE KITCHEN EAT MEAT PARIS</t>
  </si>
  <si>
    <t>C6395</t>
  </si>
  <si>
    <t>Yohan SULTAN</t>
  </si>
  <si>
    <t>garba cahud la courneuve</t>
  </si>
  <si>
    <t>les 5 freres</t>
  </si>
  <si>
    <t>C4299</t>
  </si>
  <si>
    <t>caisse d'epargne</t>
  </si>
  <si>
    <t>WABA FOOD</t>
  </si>
  <si>
    <t>c7774</t>
  </si>
  <si>
    <t>ESPACE DA</t>
  </si>
  <si>
    <t>c7435</t>
  </si>
  <si>
    <t>c4646</t>
  </si>
  <si>
    <t>houcine gasoil</t>
  </si>
  <si>
    <t>skandar gasoil</t>
  </si>
  <si>
    <t>samir lavage petit camion</t>
  </si>
  <si>
    <t>extra chicken land</t>
  </si>
  <si>
    <t>no 01808819 3920</t>
  </si>
  <si>
    <t>no 01552839 3925</t>
  </si>
  <si>
    <t>no 7 4274,16</t>
  </si>
  <si>
    <t>12/03/2026    Paiement DCC: Sodary KHAMPRASEUTH                 Terminé</t>
  </si>
  <si>
    <t>12/03/2026    Paiement Express Checkout: farid boudihar                Terminé</t>
  </si>
  <si>
    <t>12/03/2026    Paiement DCC: Thi Nhat Ha NGUYEN                        Terminé</t>
  </si>
  <si>
    <t>14/03/2026    Paiement Express Checkout: Nina Metoudi                 Terminé</t>
  </si>
  <si>
    <t>15/03/2026    Paiement DCC: Pascal Papillon                                   Terminé</t>
  </si>
  <si>
    <t>15/03/2026    Paiement DCC: SAS  Tolia                                           Terminé</t>
  </si>
  <si>
    <t>Paiement DCC: LES MARMITES DE CATHY
16/03/2026    PEROZZIELLO Alexandre                                            Terminé</t>
  </si>
  <si>
    <t>16/03/2026    Paiement DCC: Vaughn Janes                                     Terminé</t>
  </si>
  <si>
    <t>16/03/2026    Paiement Express Checkout: akram chammam           Terminé</t>
  </si>
  <si>
    <t>17/03/2026    Paiement DCC: Golam Azam                                       Terminé</t>
  </si>
  <si>
    <t>17/03/2026    Paiement Express Checkout: Anéline Cayez               Terminé</t>
  </si>
  <si>
    <t>18/03/2026    Paiement DCC: Akbar Khan                                         Terminé</t>
  </si>
  <si>
    <t>19/03/2026    Paiement DCC: Priyanka Tade                                     Terminé</t>
  </si>
  <si>
    <t>20/03/2026    Paiement DCC: Hedi Bouzidi                                        Terminé</t>
  </si>
  <si>
    <t>21/03/2026    Paiement DCC: Sodary KHAMPRASEUTH                 Terminé</t>
  </si>
  <si>
    <t>22/03/2026    Paiement DCC: lassaad ben daali                                Terminé</t>
  </si>
  <si>
    <t>22/03/2026    Paiement DCC: Ilyes El Morabit                                   Terminé</t>
  </si>
  <si>
    <t>23/03/2026    Paiement DCC: Frédéric PARENT                               Terminé</t>
  </si>
  <si>
    <t>23/03/2026    Paiement DCC: Golam Azam                                       Terminé</t>
  </si>
  <si>
    <t>24/03/2026    Paiement DCC: YANNICK KFECHOC                         Terminé</t>
  </si>
  <si>
    <t>24/03/2026    Paiement DCC: andre leleu                                          Terminé</t>
  </si>
  <si>
    <t>24/03/2026    Paiement DCC: Omar Albatin                                       Terminé</t>
  </si>
  <si>
    <t>Paiement Express Checkout: SANDRINE
24/03/2026    QUEVILLON                                                                 Terminé
Identifiant: 43C22519C2675141J</t>
  </si>
  <si>
    <t>28/03/2026    Paiement DCC: Vincent Louw                                      Terminé</t>
  </si>
  <si>
    <t>28/03/2026    Paiement DCC: Golam Azam                                       Terminé</t>
  </si>
  <si>
    <t>Paiement Express Checkout: Karthikesan
29/03/2026    VINAYAGAMOORTHY                                                 Terminé
Identifiant: 85V94510YN265371W</t>
  </si>
  <si>
    <t>29/03/2026    Paiement DCC: Krunchy  Sarcelles                              Terminé</t>
  </si>
  <si>
    <t>29/03/2026    Paiement DCC: SAS  Tolia                                           Terminé</t>
  </si>
  <si>
    <t>30/03/2026    Paiement DCC: Guillaume Martin                                 Terminé</t>
  </si>
  <si>
    <t>30/03/2026    Paiement DCC: Séverine Richard                                Terminé</t>
  </si>
  <si>
    <t>30/03/2026    Paiement DCC: AHMED FADEL                                  Terminé</t>
  </si>
  <si>
    <t>30/03/2026    Paiement DCC: Arnaud Llinares                                   Terminé</t>
  </si>
  <si>
    <t>30/03/2026    Paiement DCC: Zakaria ABDALLAH                            Terminé</t>
  </si>
  <si>
    <t>31/03/2026    Paiement DCC: tomer brainenberg                              Terminé</t>
  </si>
  <si>
    <t>31/03/2026    Paiement DCC: Beka Golodze                                     Terminé</t>
  </si>
  <si>
    <t>01/04/2026    Paiement DCC: Vincent Louw                                      Terminé</t>
  </si>
  <si>
    <t>01/04/2026    Paiement DCC: lassaad ben daali                                Terminé</t>
  </si>
  <si>
    <t>02/04/2026    Paiement DCC: FARID BOUDIHAR                             Terminé</t>
  </si>
  <si>
    <t>02/04/2026    Paiement DCC: Arnaud Llinares                                   Terminé</t>
  </si>
  <si>
    <t>02/04/2026    Paiement Express Checkout: Anéline Cayez               Terminé</t>
  </si>
  <si>
    <t>02/04/2026    Paiement DCC: MOKAM KITCHEN                             Terminé</t>
  </si>
  <si>
    <t>03/04/2026    Paiement DCC: JAD FARES                                        Terminé</t>
  </si>
  <si>
    <t>Paiement Express Checkout: SANDRINE
03/04/2026    QUEVILLON                                                                 Terminé
Identifiant: 8U304600EN874002P</t>
  </si>
  <si>
    <t>03/04/2026    Paiement DCC: Omar Albatin                                       Terminé</t>
  </si>
  <si>
    <t>03/04/2026    Paiement Express Checkout: akram chammam           Terminé</t>
  </si>
  <si>
    <t>05/04/2026    Paiement DCC: Chikin Bang                                        Terminé</t>
  </si>
  <si>
    <t>05/04/2026    Paiement DCC: David Robillard                                   Terminé</t>
  </si>
  <si>
    <t>05/04/2026    Paiement DCC: Vincent Louw                                      Terminé</t>
  </si>
  <si>
    <t>05/04/2026    Paiement Express Checkout: Geraldine Dansou         Terminé</t>
  </si>
  <si>
    <t>07/04/2026    Paiement DCC: Younes Zatou                                     Terminé</t>
  </si>
  <si>
    <t>08/04/2026    Paiement DCC: Laurent Bourdin diXlo                         Terminé</t>
  </si>
  <si>
    <t>09/04/2026    Paiement DCC: Sodary KHAMPRASEUTH                 Terminé</t>
  </si>
  <si>
    <t>09/04/2026    Paiement DCC: Beka Golodze                                     Terminé</t>
  </si>
  <si>
    <t>09/04/2026    Paiement DCC: Arnaud Llinares                                   Terminé</t>
  </si>
  <si>
    <t>10/04/2026    Paiement DCC: Hedi Bouzidi                                        Terminé</t>
  </si>
  <si>
    <t>11/04/2026    Paiement DCC: lassaad ben daali                                Terminé</t>
  </si>
  <si>
    <t>11/04/2026    Paiement DCC: Maxime Rivat                                      Terminé</t>
  </si>
  <si>
    <t>25/03/2026    Paiement Express Checkout: Sylvain Apparu              Terminé</t>
  </si>
  <si>
    <t>01/04/2026    Paiement DCC: Mohammed Bodrul Islam                    Terminé</t>
  </si>
  <si>
    <t>JAWIDA WALA</t>
  </si>
  <si>
    <t>c4256</t>
  </si>
  <si>
    <t>LOTUS PROVENCE</t>
  </si>
  <si>
    <t>c6762</t>
  </si>
  <si>
    <t>restaurant sakata xu</t>
  </si>
  <si>
    <t>c5428</t>
  </si>
  <si>
    <t>Rannouch Express</t>
  </si>
  <si>
    <t>primo</t>
  </si>
  <si>
    <t>c5020</t>
  </si>
  <si>
    <t>Les Turbines</t>
  </si>
  <si>
    <t>W.T FOOD</t>
  </si>
  <si>
    <t>CRAZY PIMENT</t>
  </si>
  <si>
    <t>c5861</t>
  </si>
  <si>
    <t>PF CARDINET (MATHIEU Boulangerie)</t>
  </si>
  <si>
    <t>Les délices de kacem</t>
  </si>
  <si>
    <t>c3283</t>
  </si>
  <si>
    <t>Georges  Kfoury</t>
  </si>
  <si>
    <t>c5031</t>
  </si>
  <si>
    <t>DELICE PROVENCE 4 SAISONS</t>
  </si>
  <si>
    <t>c1919</t>
  </si>
  <si>
    <t>LE PHENIX</t>
  </si>
  <si>
    <t>MARWAH (CHICKEN SPOT)</t>
  </si>
  <si>
    <t>c3393</t>
  </si>
  <si>
    <t>SASU HEAVY'S</t>
  </si>
  <si>
    <t>c6860</t>
  </si>
  <si>
    <t>Sarl Burger Factory 2</t>
  </si>
  <si>
    <t>TOKYORAMA (O'9 POKE)</t>
  </si>
  <si>
    <t>C6860</t>
  </si>
  <si>
    <t>B.K FACTORY</t>
  </si>
  <si>
    <t>c6916</t>
  </si>
  <si>
    <t>YZ GOURMANDIZ</t>
  </si>
  <si>
    <t>c2605</t>
  </si>
  <si>
    <t>COADRI DIFFUSION</t>
  </si>
  <si>
    <t>c6199</t>
  </si>
  <si>
    <t>Al Matham</t>
  </si>
  <si>
    <t>c6561</t>
  </si>
  <si>
    <t>moustache et fils</t>
  </si>
  <si>
    <t>SARL PESNEL</t>
  </si>
  <si>
    <t>NEHA AUBERVILLER (chicken spot)</t>
  </si>
  <si>
    <t>L'ATELIER DU COUSCOUS</t>
  </si>
  <si>
    <t>c4994</t>
  </si>
  <si>
    <t>RAISA</t>
  </si>
  <si>
    <t>c1743</t>
  </si>
  <si>
    <t>Chez PAUL</t>
  </si>
  <si>
    <t>Hussein  Ibrahim</t>
  </si>
  <si>
    <t>c5397</t>
  </si>
  <si>
    <t>3a food</t>
  </si>
  <si>
    <t>samir gasoilet et ad blu</t>
  </si>
  <si>
    <t>no 01552767 4105</t>
  </si>
  <si>
    <t>no 01552772 3360</t>
  </si>
  <si>
    <t>no 9 4576,14</t>
  </si>
  <si>
    <t xml:space="preserve"> </t>
  </si>
  <si>
    <t>zeeshan</t>
  </si>
  <si>
    <t>buffet gare</t>
  </si>
  <si>
    <t>extra sylhet food</t>
  </si>
  <si>
    <t>extra polat 27</t>
  </si>
  <si>
    <t>extra 200</t>
  </si>
  <si>
    <t>no 01552819 1730</t>
  </si>
  <si>
    <t>no 01552787 2465</t>
  </si>
  <si>
    <t>no 01552804 7760</t>
  </si>
  <si>
    <t>no 3 1383,68</t>
  </si>
  <si>
    <t>LE CHINOIS GOURMET</t>
  </si>
  <si>
    <t>MARMARIS</t>
  </si>
  <si>
    <t>chamas tacos guerrida</t>
  </si>
  <si>
    <t>Torab Maroof</t>
  </si>
  <si>
    <t>C6802</t>
  </si>
  <si>
    <t>SUSHI KEKKOO HAOBO XU</t>
  </si>
  <si>
    <t>c6268</t>
  </si>
  <si>
    <t>SARL GOKAL</t>
  </si>
  <si>
    <t>La pyramide</t>
  </si>
  <si>
    <t>KAB'HOUSE  BETA FOOD</t>
  </si>
  <si>
    <t>c1838</t>
  </si>
  <si>
    <t>La Volaille Express</t>
  </si>
  <si>
    <t>c6345</t>
  </si>
  <si>
    <t>DELICE DE BEYROUTH  IHLIBAN</t>
  </si>
  <si>
    <t>TABAC DU PALAIS - SOUVENIRS ET SERVICE</t>
  </si>
  <si>
    <t>c4470</t>
  </si>
  <si>
    <t>Monir  Hossain</t>
  </si>
  <si>
    <t>c6103</t>
  </si>
  <si>
    <t>AZ METAL</t>
  </si>
  <si>
    <t>C7838</t>
  </si>
  <si>
    <t xml:space="preserve">SAMIR RETOUR </t>
  </si>
  <si>
    <t xml:space="preserve">RETOUR LAVAGE </t>
  </si>
  <si>
    <t>RETOUR ABOUBAKER</t>
  </si>
  <si>
    <t>ABOUBAKER gasoil</t>
  </si>
  <si>
    <t>C7259</t>
  </si>
  <si>
    <t>C7737</t>
  </si>
  <si>
    <t>C4994</t>
  </si>
  <si>
    <t>RETOUR REDUCTION GASOIL</t>
  </si>
  <si>
    <t>ZEESHAN</t>
  </si>
  <si>
    <t>NO 00279925 2290</t>
  </si>
  <si>
    <t>NO 01552824 5550</t>
  </si>
  <si>
    <t>NO 12 5694,50</t>
  </si>
  <si>
    <t>SIKANDAR GASOIL</t>
  </si>
  <si>
    <t>SAMIR GASOIL PL</t>
  </si>
  <si>
    <t>SAMIR LAVAGE PL</t>
  </si>
  <si>
    <t>C3964</t>
  </si>
  <si>
    <t>HAOCH LI</t>
  </si>
  <si>
    <t>LES SAVEURS DU MONDE LA PAILLOTE</t>
  </si>
  <si>
    <t>MAMAZINI</t>
  </si>
  <si>
    <t>16PARCROYALSARL</t>
  </si>
  <si>
    <t>C6243</t>
  </si>
  <si>
    <t>C5232</t>
  </si>
  <si>
    <t>Sabbir Ramjan hossain</t>
  </si>
  <si>
    <t>c6900</t>
  </si>
  <si>
    <t>c7811</t>
  </si>
  <si>
    <t>c6383</t>
  </si>
  <si>
    <t>LE WARNER</t>
  </si>
  <si>
    <t>Akbar Khan</t>
  </si>
  <si>
    <t>c4809</t>
  </si>
  <si>
    <t>LYDIA FOOD</t>
  </si>
  <si>
    <t>c7728</t>
  </si>
  <si>
    <t>c5624</t>
  </si>
  <si>
    <t>MONSIEURBENRHOUMAMOHAMED</t>
  </si>
  <si>
    <t>c7116</t>
  </si>
  <si>
    <t>JUINDIS</t>
  </si>
  <si>
    <t>c5486</t>
  </si>
  <si>
    <t>S.A.R.L.STOREASIE</t>
  </si>
  <si>
    <t>MELAS</t>
  </si>
  <si>
    <t>SASCFCCORNERSFOODCOURT</t>
  </si>
  <si>
    <t>c7264</t>
  </si>
  <si>
    <t>SASAMA</t>
  </si>
  <si>
    <t>c7149</t>
  </si>
  <si>
    <t>BIBIANEFLORENDIDJI</t>
  </si>
  <si>
    <t>c6939</t>
  </si>
  <si>
    <t>HONEY</t>
  </si>
  <si>
    <t>c6843</t>
  </si>
  <si>
    <t>SASASILFOOD</t>
  </si>
  <si>
    <t>c6740</t>
  </si>
  <si>
    <t>SHAM'SFOOD</t>
  </si>
  <si>
    <t>c7777</t>
  </si>
  <si>
    <t>MRAHMEDSHAMIM</t>
  </si>
  <si>
    <t>ARGENSON ET SEPT ARPENTS</t>
  </si>
  <si>
    <t>restaurant yoshi world</t>
  </si>
  <si>
    <t xml:space="preserve">caisse d'epargne </t>
  </si>
  <si>
    <t>Rannouch</t>
  </si>
  <si>
    <t>WAJIH  HAMMOUD</t>
  </si>
  <si>
    <t>boulangerie les poètes</t>
  </si>
  <si>
    <t xml:space="preserve">caisse d'pargne </t>
  </si>
  <si>
    <t>SPICE'N'GRILL Restaurant Hala</t>
  </si>
  <si>
    <t>c6273</t>
  </si>
  <si>
    <t>PLANETE DA</t>
  </si>
  <si>
    <t>c1581</t>
  </si>
  <si>
    <t>Robert  Asseraf</t>
  </si>
  <si>
    <t>LE KINKS</t>
  </si>
  <si>
    <t>c7100</t>
  </si>
  <si>
    <t>Yummy Yummy</t>
  </si>
  <si>
    <t>c7851</t>
  </si>
  <si>
    <t>SLIMANI MOHAMMED</t>
  </si>
  <si>
    <t>c7843</t>
  </si>
  <si>
    <t>pizzeria  vivaldi</t>
  </si>
  <si>
    <t>c5316</t>
  </si>
  <si>
    <t xml:space="preserve">    </t>
  </si>
  <si>
    <t>no 05074666 10000</t>
  </si>
  <si>
    <t>no 050774651 5180</t>
  </si>
  <si>
    <t>reaparation hayon</t>
  </si>
  <si>
    <t>ahmed peage</t>
  </si>
  <si>
    <t>abu bakar leroy merlin</t>
  </si>
  <si>
    <t>no 10 7431,58</t>
  </si>
  <si>
    <t xml:space="preserve">RANY        </t>
  </si>
  <si>
    <t>AZMETAL</t>
  </si>
  <si>
    <t>HOZCOUSCOUS</t>
  </si>
  <si>
    <t>BURGERFACTORY2</t>
  </si>
  <si>
    <t>TERMINALC</t>
  </si>
  <si>
    <t>S.A.R.L.CHICKENSQUARE</t>
  </si>
  <si>
    <t>LASCALA.S</t>
  </si>
  <si>
    <t>W.TFOOD</t>
  </si>
  <si>
    <t>S.A.R.L.SHIKDERRANA</t>
  </si>
  <si>
    <t>SARLV.V</t>
  </si>
  <si>
    <t>S.A.S.TACOMAX</t>
  </si>
  <si>
    <t>SARLMJMLRESTAURATION</t>
  </si>
  <si>
    <t>HOZ</t>
  </si>
  <si>
    <t>RONYMOLLA</t>
  </si>
  <si>
    <t>MARWAH</t>
  </si>
  <si>
    <t>MNIHALMOHAMEDMEERAMOIDEEN</t>
  </si>
  <si>
    <t>SARLB.KFACTORY</t>
  </si>
  <si>
    <t>SARLFRIEDCHICKEN</t>
  </si>
  <si>
    <t>NEHA</t>
  </si>
  <si>
    <t>COADRIDIFFUSION</t>
  </si>
  <si>
    <t>LIDISTRIBUTIONSAS</t>
  </si>
  <si>
    <t>S.A.S.FMDAROMMATIC</t>
  </si>
  <si>
    <t>DRUGOPERASA</t>
  </si>
  <si>
    <t>YBBSASU</t>
  </si>
  <si>
    <t>S.A.S.HASSANIGROSSISTE</t>
  </si>
  <si>
    <t>SASLAGUINGUETTE</t>
  </si>
  <si>
    <t>ALIHSAN</t>
  </si>
  <si>
    <t>SASBIDITRISHEB</t>
  </si>
  <si>
    <t>EXPRESSOMATIK</t>
  </si>
  <si>
    <t>L.ATELIERTACOS</t>
  </si>
  <si>
    <t>MAESTRO</t>
  </si>
  <si>
    <t>FOURQUET.SFRITED.OR</t>
  </si>
  <si>
    <t>CHICK.N-BURGER</t>
  </si>
  <si>
    <t>DISPROFOOD</t>
  </si>
  <si>
    <t>VILLIERSGAME</t>
  </si>
  <si>
    <t>LOIREDISTRIBUTIONAUTOMATIQUE</t>
  </si>
  <si>
    <t>LESSAVEURSDUMONDELAPAILLOTE</t>
  </si>
  <si>
    <t>SARLURBANFOODS</t>
  </si>
  <si>
    <t xml:space="preserve">CHICKEN ASIA </t>
  </si>
  <si>
    <t xml:space="preserve">S.A.S. CHEZ NINOU FAST FOOD                                                   </t>
  </si>
  <si>
    <t xml:space="preserve">S.A.S. DJURDJURA DISTRIBUTION                                                 </t>
  </si>
  <si>
    <t>S.A.S. CHEZ NINOU FAST FOOD</t>
  </si>
  <si>
    <t>S.A.S. DJURDJURA DISTRIBUTION</t>
  </si>
  <si>
    <t>bordeaux</t>
  </si>
  <si>
    <t>TREFLE</t>
  </si>
  <si>
    <t>20/04/2026    Paiement DCC: FARID BOUDIHAR                             Terminé</t>
  </si>
  <si>
    <t>20/04/2026    Paiement DCC: Sodary KHAMPRASEUTH                 Terminé</t>
  </si>
  <si>
    <t>20/04/2026    Paiement DCC: lassaad ben daali                                Terminé</t>
  </si>
  <si>
    <t>21/04/2026    Paiement DCC: Werner Meunier                                  Terminé</t>
  </si>
  <si>
    <t>21/04/2026    Paiement DCC: Adbus Shahid Muhammed                 Terminé</t>
  </si>
  <si>
    <t>21/04/2026    Paiement DCC: SANDRINE  QUEVILLON                   Terminé</t>
  </si>
  <si>
    <t>21/04/2026    Paiement DCC: Uthayaveni Sivananthan                     Terminé</t>
  </si>
  <si>
    <t>21/04/2026    Paiement DCC: frederic gicquel                                   Terminé</t>
  </si>
  <si>
    <t>22/04/2026    Paiement Express Checkout: akram chammam           Terminé</t>
  </si>
  <si>
    <t>PAYPAL + CASH</t>
  </si>
  <si>
    <t>C6939</t>
  </si>
  <si>
    <t>CROUSTY CHICKEN FOOD</t>
  </si>
  <si>
    <t>C7687</t>
  </si>
  <si>
    <t>O'FRESH MARKET</t>
  </si>
  <si>
    <t>C7430</t>
  </si>
  <si>
    <t>COIN CAFE</t>
  </si>
  <si>
    <t>Mina Chahchah Arnaud</t>
  </si>
  <si>
    <t>Pizzeria Sarda</t>
  </si>
  <si>
    <t>C1617</t>
  </si>
  <si>
    <t>ASA</t>
  </si>
  <si>
    <t>C6645</t>
  </si>
  <si>
    <t>EAT CORNER</t>
  </si>
  <si>
    <t>C5664</t>
  </si>
  <si>
    <t>FOURQUET'S FRITE D'OR</t>
  </si>
  <si>
    <t>Fatima  Khalil</t>
  </si>
  <si>
    <t>c6459</t>
  </si>
  <si>
    <t>ZHONGJIE XIA</t>
  </si>
  <si>
    <t>Jadak</t>
  </si>
  <si>
    <t>c5085</t>
  </si>
  <si>
    <t>NEHA ST DENIS (chicken spot)</t>
  </si>
  <si>
    <t>HCOMMERCIAL</t>
  </si>
  <si>
    <t>c7802</t>
  </si>
  <si>
    <t>garba chaud la courneuve</t>
  </si>
  <si>
    <t>C7843</t>
  </si>
  <si>
    <t>MY TACOS</t>
  </si>
  <si>
    <t>C6702</t>
  </si>
  <si>
    <t>CRÈME FRENCH TACOS LIMITED</t>
  </si>
  <si>
    <t>C7026</t>
  </si>
  <si>
    <t>Sarl TAMASINI</t>
  </si>
  <si>
    <t>C6171</t>
  </si>
  <si>
    <t xml:space="preserve">CROUSTY FAMILY </t>
  </si>
  <si>
    <t>El Mahi Restaurant</t>
  </si>
  <si>
    <t>C5837</t>
  </si>
  <si>
    <t>O'Tacos-MCL DISTRIBUTION</t>
  </si>
  <si>
    <t>Sylhet Food</t>
  </si>
  <si>
    <t>C3788</t>
  </si>
  <si>
    <t>Haochi LI</t>
  </si>
  <si>
    <t>C6767</t>
  </si>
  <si>
    <t>Mozzafiato Paris</t>
  </si>
  <si>
    <t>C6471</t>
  </si>
  <si>
    <t>TACO MESA</t>
  </si>
  <si>
    <t>C5540</t>
  </si>
  <si>
    <t>AHMED</t>
  </si>
  <si>
    <t>NADIA ET ZOHAIR SALARY</t>
  </si>
  <si>
    <t>MME ISSANE POUR BOUCHERI</t>
  </si>
  <si>
    <t>NO 05074631 3615</t>
  </si>
  <si>
    <t>NO 05074646 2565</t>
  </si>
  <si>
    <t>NO 4 1869,94</t>
  </si>
  <si>
    <t>MIKUNA EVENTS</t>
  </si>
  <si>
    <t>c6606</t>
  </si>
  <si>
    <t>JANNAT BD</t>
  </si>
  <si>
    <t>c7767</t>
  </si>
  <si>
    <t>Pierre-Alexandre Entraygues</t>
  </si>
  <si>
    <t>c6830</t>
  </si>
  <si>
    <t>THE BEAN PROJECT PARIS</t>
  </si>
  <si>
    <t>A LA FOLIE PARIS</t>
  </si>
  <si>
    <t>SARKER</t>
  </si>
  <si>
    <t>c7597</t>
  </si>
  <si>
    <t>ASIAN FOOD LAB Entreprise</t>
  </si>
  <si>
    <t>c6198</t>
  </si>
  <si>
    <t>jad al rayes</t>
  </si>
  <si>
    <t>c6560</t>
  </si>
  <si>
    <t>Restaurant Cheezy</t>
  </si>
  <si>
    <t>retour gasoil</t>
  </si>
  <si>
    <t>NSEDA</t>
  </si>
  <si>
    <t>c5988</t>
  </si>
  <si>
    <t>au sun dine</t>
  </si>
  <si>
    <t>no 05074611 4870</t>
  </si>
  <si>
    <t>no 12 5901,45</t>
  </si>
  <si>
    <t>extra vanitha pizzasur</t>
  </si>
  <si>
    <t>samir gasoil</t>
  </si>
  <si>
    <t>skander gasoil</t>
  </si>
  <si>
    <t>abu bakar gasoil livraison vamion 053</t>
  </si>
  <si>
    <t>transpoerter travaux et peinture</t>
  </si>
  <si>
    <t>no 05074626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</si>
</sst>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£&quot;* #,##0.00_-;\-&quot;£&quot;* #,##0.00_-;_-&quot;£&quot;* &quot;-&quot;??_-;_-@_-"/>
    <numFmt numFmtId="165" formatCode="_-* #,##0.00\ _€_-;\-* #,##0.00\ _€_-;_-* &quot;-&quot;??\ _€_-;_-@_-"/>
    <numFmt numFmtId="166" formatCode="#,##0.00\ &quot;€&quot;"/>
    <numFmt numFmtId="167" formatCode="[$-80C]dddd\ d\ mmmm\ yyyy;@"/>
    <numFmt numFmtId="168" formatCode="_-[$€-2]\ * #,##0.00_-;\-[$€-2]\ * #,##0.00_-;_-[$€-2]\ * &quot;-&quot;??_-;_-@_-"/>
    <numFmt numFmtId="169" formatCode="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167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01">
    <xf numFmtId="167" fontId="0" fillId="0" borderId="0" xfId="0"/>
    <xf numFmtId="167" fontId="2" fillId="0" borderId="0" xfId="0" applyFont="1"/>
    <xf numFmtId="167" fontId="3" fillId="0" borderId="0" xfId="0" applyFont="1"/>
    <xf numFmtId="167" fontId="3" fillId="0" borderId="0" xfId="0" applyFont="1" applyAlignment="1">
      <alignment horizontal="center"/>
    </xf>
    <xf numFmtId="167" fontId="4" fillId="0" borderId="6" xfId="0" applyFont="1" applyBorder="1"/>
    <xf numFmtId="166" fontId="4" fillId="0" borderId="7" xfId="0" applyNumberFormat="1" applyFont="1" applyBorder="1"/>
    <xf numFmtId="166" fontId="2" fillId="0" borderId="0" xfId="0" applyNumberFormat="1" applyFont="1"/>
    <xf numFmtId="167" fontId="4" fillId="0" borderId="12" xfId="0" applyFont="1" applyBorder="1"/>
    <xf numFmtId="166" fontId="4" fillId="0" borderId="13" xfId="0" applyNumberFormat="1" applyFont="1" applyBorder="1"/>
    <xf numFmtId="167" fontId="5" fillId="2" borderId="18" xfId="0" applyFont="1" applyFill="1" applyBorder="1"/>
    <xf numFmtId="166" fontId="4" fillId="2" borderId="13" xfId="0" applyNumberFormat="1" applyFont="1" applyFill="1" applyBorder="1"/>
    <xf numFmtId="167" fontId="6" fillId="0" borderId="0" xfId="0" applyFont="1"/>
    <xf numFmtId="167" fontId="2" fillId="0" borderId="21" xfId="0" applyFont="1" applyBorder="1"/>
    <xf numFmtId="166" fontId="2" fillId="0" borderId="22" xfId="0" applyNumberFormat="1" applyFont="1" applyBorder="1"/>
    <xf numFmtId="167" fontId="2" fillId="0" borderId="1" xfId="0" applyFont="1" applyBorder="1"/>
    <xf numFmtId="167" fontId="2" fillId="0" borderId="23" xfId="0" applyFont="1" applyBorder="1"/>
    <xf numFmtId="167" fontId="6" fillId="0" borderId="2" xfId="0" applyFont="1" applyBorder="1"/>
    <xf numFmtId="167" fontId="2" fillId="0" borderId="27" xfId="0" applyFont="1" applyBorder="1"/>
    <xf numFmtId="166" fontId="2" fillId="0" borderId="16" xfId="0" applyNumberFormat="1" applyFont="1" applyBorder="1"/>
    <xf numFmtId="167" fontId="2" fillId="0" borderId="28" xfId="0" applyFont="1" applyBorder="1"/>
    <xf numFmtId="166" fontId="2" fillId="0" borderId="29" xfId="0" applyNumberFormat="1" applyFont="1" applyBorder="1"/>
    <xf numFmtId="166" fontId="2" fillId="0" borderId="11" xfId="0" applyNumberFormat="1" applyFont="1" applyBorder="1"/>
    <xf numFmtId="167" fontId="2" fillId="0" borderId="31" xfId="0" applyFont="1" applyBorder="1"/>
    <xf numFmtId="166" fontId="2" fillId="0" borderId="27" xfId="0" applyNumberFormat="1" applyFont="1" applyBorder="1"/>
    <xf numFmtId="166" fontId="2" fillId="0" borderId="17" xfId="0" applyNumberFormat="1" applyFont="1" applyBorder="1"/>
    <xf numFmtId="167" fontId="6" fillId="0" borderId="27" xfId="0" applyFont="1" applyBorder="1"/>
    <xf numFmtId="167" fontId="2" fillId="0" borderId="33" xfId="0" applyFont="1" applyBorder="1"/>
    <xf numFmtId="166" fontId="2" fillId="0" borderId="19" xfId="0" applyNumberFormat="1" applyFont="1" applyBorder="1"/>
    <xf numFmtId="167" fontId="6" fillId="0" borderId="34" xfId="0" applyFont="1" applyBorder="1"/>
    <xf numFmtId="166" fontId="2" fillId="0" borderId="33" xfId="0" applyNumberFormat="1" applyFont="1" applyBorder="1"/>
    <xf numFmtId="166" fontId="6" fillId="0" borderId="33" xfId="0" applyNumberFormat="1" applyFont="1" applyBorder="1"/>
    <xf numFmtId="166" fontId="2" fillId="0" borderId="20" xfId="0" applyNumberFormat="1" applyFont="1" applyBorder="1"/>
    <xf numFmtId="166" fontId="2" fillId="0" borderId="36" xfId="0" applyNumberFormat="1" applyFont="1" applyBorder="1"/>
    <xf numFmtId="167" fontId="6" fillId="0" borderId="0" xfId="0" applyFont="1" applyAlignment="1">
      <alignment horizontal="center"/>
    </xf>
    <xf numFmtId="167" fontId="3" fillId="0" borderId="37" xfId="0" applyFont="1" applyBorder="1"/>
    <xf numFmtId="166" fontId="3" fillId="0" borderId="2" xfId="0" applyNumberFormat="1" applyFont="1" applyBorder="1"/>
    <xf numFmtId="167" fontId="6" fillId="0" borderId="23" xfId="0" applyFont="1" applyBorder="1" applyAlignment="1">
      <alignment horizontal="center"/>
    </xf>
    <xf numFmtId="166" fontId="6" fillId="0" borderId="23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3" xfId="0" applyNumberFormat="1" applyFont="1" applyBorder="1"/>
    <xf numFmtId="167" fontId="6" fillId="0" borderId="39" xfId="0" applyFont="1" applyBorder="1"/>
    <xf numFmtId="166" fontId="2" fillId="0" borderId="30" xfId="0" applyNumberFormat="1" applyFont="1" applyBorder="1"/>
    <xf numFmtId="166" fontId="2" fillId="0" borderId="21" xfId="0" applyNumberFormat="1" applyFont="1" applyBorder="1"/>
    <xf numFmtId="166" fontId="2" fillId="0" borderId="32" xfId="0" applyNumberFormat="1" applyFont="1" applyBorder="1"/>
    <xf numFmtId="166" fontId="2" fillId="0" borderId="46" xfId="0" applyNumberFormat="1" applyFont="1" applyBorder="1"/>
    <xf numFmtId="166" fontId="2" fillId="0" borderId="35" xfId="0" applyNumberFormat="1" applyFont="1" applyBorder="1"/>
    <xf numFmtId="167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7" fillId="0" borderId="0" xfId="0" applyFont="1"/>
    <xf numFmtId="0" fontId="2" fillId="0" borderId="21" xfId="0" applyNumberFormat="1" applyFont="1" applyBorder="1"/>
    <xf numFmtId="0" fontId="2" fillId="0" borderId="27" xfId="0" applyNumberFormat="1" applyFont="1" applyBorder="1"/>
    <xf numFmtId="0" fontId="2" fillId="0" borderId="38" xfId="0" applyNumberFormat="1" applyFont="1" applyBorder="1"/>
    <xf numFmtId="0" fontId="2" fillId="0" borderId="17" xfId="0" applyNumberFormat="1" applyFont="1" applyBorder="1"/>
    <xf numFmtId="0" fontId="2" fillId="0" borderId="20" xfId="0" applyNumberFormat="1" applyFont="1" applyBorder="1"/>
    <xf numFmtId="168" fontId="0" fillId="0" borderId="32" xfId="3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169" fontId="0" fillId="0" borderId="32" xfId="0" applyNumberFormat="1" applyBorder="1" applyAlignment="1">
      <alignment horizontal="center" vertical="center"/>
    </xf>
    <xf numFmtId="0" fontId="0" fillId="0" borderId="0" xfId="0" applyNumberFormat="1"/>
    <xf numFmtId="0" fontId="0" fillId="0" borderId="32" xfId="3" applyNumberFormat="1" applyFont="1" applyFill="1" applyBorder="1" applyAlignment="1">
      <alignment horizontal="center" vertical="center"/>
    </xf>
    <xf numFmtId="0" fontId="0" fillId="0" borderId="32" xfId="0" applyNumberFormat="1" applyBorder="1"/>
    <xf numFmtId="168" fontId="0" fillId="0" borderId="32" xfId="0" applyNumberFormat="1" applyBorder="1"/>
    <xf numFmtId="0" fontId="0" fillId="8" borderId="32" xfId="0" applyNumberFormat="1" applyFill="1" applyBorder="1"/>
    <xf numFmtId="0" fontId="0" fillId="9" borderId="32" xfId="0" applyNumberFormat="1" applyFill="1" applyBorder="1"/>
    <xf numFmtId="2" fontId="0" fillId="0" borderId="32" xfId="0" applyNumberFormat="1" applyBorder="1"/>
    <xf numFmtId="167" fontId="0" fillId="9" borderId="0" xfId="0" applyFill="1"/>
    <xf numFmtId="167" fontId="2" fillId="0" borderId="17" xfId="0" applyFont="1" applyBorder="1"/>
    <xf numFmtId="167" fontId="2" fillId="0" borderId="36" xfId="0" applyFont="1" applyBorder="1"/>
    <xf numFmtId="167" fontId="2" fillId="0" borderId="49" xfId="0" applyFont="1" applyBorder="1"/>
    <xf numFmtId="167" fontId="2" fillId="0" borderId="4" xfId="0" applyFont="1" applyBorder="1" applyAlignment="1">
      <alignment horizontal="center"/>
    </xf>
    <xf numFmtId="167" fontId="2" fillId="6" borderId="23" xfId="0" applyFont="1" applyFill="1" applyBorder="1"/>
    <xf numFmtId="167" fontId="2" fillId="5" borderId="23" xfId="0" applyFont="1" applyFill="1" applyBorder="1"/>
    <xf numFmtId="167" fontId="2" fillId="4" borderId="23" xfId="0" applyFont="1" applyFill="1" applyBorder="1"/>
    <xf numFmtId="167" fontId="2" fillId="3" borderId="48" xfId="0" applyFont="1" applyFill="1" applyBorder="1" applyAlignment="1">
      <alignment vertical="center"/>
    </xf>
    <xf numFmtId="167" fontId="2" fillId="0" borderId="31" xfId="0" applyFont="1" applyBorder="1" applyAlignment="1">
      <alignment horizontal="center"/>
    </xf>
    <xf numFmtId="167" fontId="2" fillId="0" borderId="16" xfId="0" applyFont="1" applyBorder="1" applyAlignment="1">
      <alignment horizontal="center"/>
    </xf>
    <xf numFmtId="167" fontId="2" fillId="0" borderId="42" xfId="0" applyFont="1" applyBorder="1" applyAlignment="1">
      <alignment horizontal="center"/>
    </xf>
    <xf numFmtId="166" fontId="2" fillId="0" borderId="43" xfId="0" applyNumberFormat="1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6" fontId="2" fillId="10" borderId="11" xfId="0" applyNumberFormat="1" applyFont="1" applyFill="1" applyBorder="1"/>
    <xf numFmtId="166" fontId="2" fillId="0" borderId="47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10" borderId="17" xfId="0" applyNumberFormat="1" applyFont="1" applyFill="1" applyBorder="1"/>
    <xf numFmtId="166" fontId="4" fillId="10" borderId="13" xfId="0" applyNumberFormat="1" applyFont="1" applyFill="1" applyBorder="1"/>
    <xf numFmtId="166" fontId="2" fillId="0" borderId="43" xfId="0" applyNumberFormat="1" applyFont="1" applyBorder="1"/>
    <xf numFmtId="20" fontId="2" fillId="0" borderId="32" xfId="0" applyNumberFormat="1" applyFont="1" applyBorder="1"/>
    <xf numFmtId="166" fontId="2" fillId="11" borderId="27" xfId="0" applyNumberFormat="1" applyFont="1" applyFill="1" applyBorder="1"/>
    <xf numFmtId="166" fontId="2" fillId="11" borderId="17" xfId="0" applyNumberFormat="1" applyFont="1" applyFill="1" applyBorder="1"/>
    <xf numFmtId="166" fontId="2" fillId="9" borderId="11" xfId="0" applyNumberFormat="1" applyFont="1" applyFill="1" applyBorder="1"/>
    <xf numFmtId="167" fontId="2" fillId="0" borderId="34" xfId="0" applyFont="1" applyBorder="1"/>
    <xf numFmtId="167" fontId="2" fillId="0" borderId="51" xfId="0" applyFont="1" applyBorder="1" applyAlignment="1">
      <alignment horizontal="center"/>
    </xf>
    <xf numFmtId="167" fontId="2" fillId="0" borderId="10" xfId="0" applyFont="1" applyBorder="1" applyAlignment="1">
      <alignment horizontal="center"/>
    </xf>
    <xf numFmtId="167" fontId="2" fillId="0" borderId="52" xfId="0" applyFont="1" applyBorder="1" applyAlignment="1">
      <alignment horizontal="center"/>
    </xf>
    <xf numFmtId="167" fontId="4" fillId="0" borderId="14" xfId="0" applyFont="1" applyBorder="1" applyAlignment="1">
      <alignment horizontal="left"/>
    </xf>
    <xf numFmtId="167" fontId="4" fillId="0" borderId="15" xfId="0" applyFont="1" applyBorder="1" applyAlignment="1">
      <alignment horizontal="left"/>
    </xf>
    <xf numFmtId="166" fontId="4" fillId="0" borderId="16" xfId="0" applyNumberFormat="1" applyFont="1" applyBorder="1" applyAlignment="1">
      <alignment horizontal="right"/>
    </xf>
    <xf numFmtId="166" fontId="4" fillId="0" borderId="17" xfId="0" applyNumberFormat="1" applyFont="1" applyBorder="1" applyAlignment="1">
      <alignment horizontal="right"/>
    </xf>
    <xf numFmtId="167" fontId="4" fillId="0" borderId="12" xfId="0" applyFont="1" applyBorder="1" applyAlignment="1">
      <alignment horizontal="left"/>
    </xf>
    <xf numFmtId="167" fontId="4" fillId="0" borderId="13" xfId="0" applyFont="1" applyBorder="1" applyAlignment="1">
      <alignment horizontal="left"/>
    </xf>
    <xf numFmtId="166" fontId="4" fillId="0" borderId="19" xfId="0" applyNumberFormat="1" applyFont="1" applyBorder="1" applyAlignment="1">
      <alignment horizontal="right"/>
    </xf>
    <xf numFmtId="166" fontId="4" fillId="0" borderId="20" xfId="0" applyNumberFormat="1" applyFont="1" applyBorder="1" applyAlignment="1">
      <alignment horizontal="right"/>
    </xf>
    <xf numFmtId="167" fontId="6" fillId="2" borderId="1" xfId="0" applyFont="1" applyFill="1" applyBorder="1" applyAlignment="1">
      <alignment horizontal="center"/>
    </xf>
    <xf numFmtId="167" fontId="6" fillId="2" borderId="2" xfId="0" applyFont="1" applyFill="1" applyBorder="1" applyAlignment="1">
      <alignment horizontal="center"/>
    </xf>
    <xf numFmtId="167" fontId="3" fillId="0" borderId="0" xfId="0" applyFont="1" applyAlignment="1">
      <alignment horizontal="right"/>
    </xf>
    <xf numFmtId="167" fontId="3" fillId="0" borderId="1" xfId="0" applyFont="1" applyBorder="1" applyAlignment="1">
      <alignment horizontal="left"/>
    </xf>
    <xf numFmtId="167" fontId="3" fillId="0" borderId="2" xfId="0" applyFont="1" applyBorder="1" applyAlignment="1">
      <alignment horizontal="left"/>
    </xf>
    <xf numFmtId="167" fontId="3" fillId="0" borderId="3" xfId="0" applyFont="1" applyBorder="1" applyAlignment="1">
      <alignment horizontal="center"/>
    </xf>
    <xf numFmtId="167" fontId="3" fillId="0" borderId="4" xfId="0" applyFont="1" applyBorder="1" applyAlignment="1">
      <alignment horizontal="center"/>
    </xf>
    <xf numFmtId="167" fontId="3" fillId="0" borderId="5" xfId="0" applyFont="1" applyBorder="1" applyAlignment="1">
      <alignment horizontal="center"/>
    </xf>
    <xf numFmtId="167" fontId="3" fillId="0" borderId="2" xfId="0" applyFont="1" applyBorder="1" applyAlignment="1">
      <alignment horizontal="center"/>
    </xf>
    <xf numFmtId="167" fontId="4" fillId="0" borderId="8" xfId="0" applyFont="1" applyBorder="1" applyAlignment="1">
      <alignment horizontal="left"/>
    </xf>
    <xf numFmtId="167" fontId="4" fillId="0" borderId="9" xfId="0" applyFont="1" applyBorder="1" applyAlignment="1">
      <alignment horizontal="left"/>
    </xf>
    <xf numFmtId="166" fontId="4" fillId="0" borderId="10" xfId="0" applyNumberFormat="1" applyFont="1" applyBorder="1" applyAlignment="1">
      <alignment horizontal="right"/>
    </xf>
    <xf numFmtId="166" fontId="4" fillId="0" borderId="11" xfId="0" applyNumberFormat="1" applyFont="1" applyBorder="1" applyAlignment="1">
      <alignment horizontal="right"/>
    </xf>
    <xf numFmtId="167" fontId="6" fillId="0" borderId="12" xfId="0" applyFont="1" applyBorder="1" applyAlignment="1">
      <alignment horizontal="center"/>
    </xf>
    <xf numFmtId="167" fontId="6" fillId="0" borderId="35" xfId="0" applyFont="1" applyBorder="1" applyAlignment="1">
      <alignment horizontal="center"/>
    </xf>
    <xf numFmtId="167" fontId="6" fillId="0" borderId="13" xfId="0" applyFont="1" applyBorder="1" applyAlignment="1">
      <alignment horizontal="center"/>
    </xf>
    <xf numFmtId="167" fontId="6" fillId="0" borderId="1" xfId="0" applyFont="1" applyBorder="1" applyAlignment="1">
      <alignment horizontal="center"/>
    </xf>
    <xf numFmtId="167" fontId="6" fillId="0" borderId="5" xfId="0" applyFont="1" applyBorder="1" applyAlignment="1">
      <alignment horizontal="center"/>
    </xf>
    <xf numFmtId="167" fontId="6" fillId="0" borderId="2" xfId="0" applyFont="1" applyBorder="1" applyAlignment="1">
      <alignment horizontal="center"/>
    </xf>
    <xf numFmtId="167" fontId="6" fillId="3" borderId="1" xfId="0" applyFont="1" applyFill="1" applyBorder="1" applyAlignment="1">
      <alignment horizontal="center"/>
    </xf>
    <xf numFmtId="167" fontId="6" fillId="3" borderId="5" xfId="0" applyFont="1" applyFill="1" applyBorder="1" applyAlignment="1">
      <alignment horizontal="center"/>
    </xf>
    <xf numFmtId="167" fontId="6" fillId="3" borderId="2" xfId="0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7" fontId="2" fillId="0" borderId="28" xfId="0" applyFont="1" applyBorder="1" applyAlignment="1">
      <alignment horizontal="center"/>
    </xf>
    <xf numFmtId="167" fontId="2" fillId="0" borderId="22" xfId="0" applyFont="1" applyBorder="1" applyAlignment="1">
      <alignment horizontal="center"/>
    </xf>
    <xf numFmtId="167" fontId="2" fillId="0" borderId="38" xfId="0" applyFont="1" applyBorder="1" applyAlignment="1">
      <alignment horizontal="center"/>
    </xf>
    <xf numFmtId="167" fontId="2" fillId="0" borderId="28" xfId="1" applyNumberFormat="1" applyFont="1" applyBorder="1" applyAlignment="1">
      <alignment horizontal="center"/>
    </xf>
    <xf numFmtId="167" fontId="2" fillId="0" borderId="22" xfId="1" applyNumberFormat="1" applyFont="1" applyBorder="1" applyAlignment="1">
      <alignment horizontal="center"/>
    </xf>
    <xf numFmtId="167" fontId="2" fillId="0" borderId="38" xfId="1" applyNumberFormat="1" applyFont="1" applyBorder="1" applyAlignment="1">
      <alignment horizontal="center"/>
    </xf>
    <xf numFmtId="167" fontId="6" fillId="0" borderId="24" xfId="0" applyFont="1" applyBorder="1" applyAlignment="1">
      <alignment horizontal="center"/>
    </xf>
    <xf numFmtId="167" fontId="6" fillId="0" borderId="25" xfId="0" applyFont="1" applyBorder="1" applyAlignment="1">
      <alignment horizontal="center"/>
    </xf>
    <xf numFmtId="167" fontId="6" fillId="0" borderId="26" xfId="0" applyFont="1" applyBorder="1" applyAlignment="1">
      <alignment horizontal="center"/>
    </xf>
    <xf numFmtId="167" fontId="2" fillId="0" borderId="6" xfId="0" applyFont="1" applyBorder="1" applyAlignment="1">
      <alignment horizontal="center"/>
    </xf>
    <xf numFmtId="167" fontId="2" fillId="0" borderId="30" xfId="0" applyFont="1" applyBorder="1" applyAlignment="1">
      <alignment horizontal="center"/>
    </xf>
    <xf numFmtId="167" fontId="2" fillId="0" borderId="7" xfId="0" applyFont="1" applyBorder="1" applyAlignment="1">
      <alignment horizontal="center"/>
    </xf>
    <xf numFmtId="167" fontId="2" fillId="0" borderId="14" xfId="0" applyFont="1" applyBorder="1" applyAlignment="1">
      <alignment horizontal="center"/>
    </xf>
    <xf numFmtId="167" fontId="2" fillId="0" borderId="32" xfId="0" applyFont="1" applyBorder="1" applyAlignment="1">
      <alignment horizontal="center"/>
    </xf>
    <xf numFmtId="167" fontId="2" fillId="0" borderId="15" xfId="0" applyFont="1" applyBorder="1" applyAlignment="1">
      <alignment horizontal="center"/>
    </xf>
    <xf numFmtId="167" fontId="2" fillId="0" borderId="31" xfId="0" applyFont="1" applyBorder="1" applyAlignment="1">
      <alignment horizontal="center"/>
    </xf>
    <xf numFmtId="167" fontId="2" fillId="0" borderId="16" xfId="0" applyFont="1" applyBorder="1" applyAlignment="1">
      <alignment horizontal="center"/>
    </xf>
    <xf numFmtId="167" fontId="2" fillId="0" borderId="17" xfId="0" applyFont="1" applyBorder="1" applyAlignment="1">
      <alignment horizontal="center"/>
    </xf>
    <xf numFmtId="167" fontId="2" fillId="0" borderId="31" xfId="1" applyNumberFormat="1" applyFont="1" applyBorder="1" applyAlignment="1">
      <alignment horizontal="center"/>
    </xf>
    <xf numFmtId="167" fontId="2" fillId="0" borderId="16" xfId="1" applyNumberFormat="1" applyFont="1" applyBorder="1" applyAlignment="1">
      <alignment horizontal="center"/>
    </xf>
    <xf numFmtId="167" fontId="2" fillId="0" borderId="17" xfId="1" applyNumberFormat="1" applyFont="1" applyBorder="1" applyAlignment="1">
      <alignment horizontal="center"/>
    </xf>
    <xf numFmtId="167" fontId="2" fillId="0" borderId="34" xfId="0" applyFont="1" applyBorder="1" applyAlignment="1">
      <alignment horizontal="center"/>
    </xf>
    <xf numFmtId="167" fontId="2" fillId="0" borderId="19" xfId="0" applyFont="1" applyBorder="1" applyAlignment="1">
      <alignment horizontal="center"/>
    </xf>
    <xf numFmtId="167" fontId="2" fillId="0" borderId="20" xfId="0" applyFont="1" applyBorder="1" applyAlignment="1">
      <alignment horizontal="center"/>
    </xf>
    <xf numFmtId="167" fontId="2" fillId="0" borderId="34" xfId="1" applyNumberFormat="1" applyFont="1" applyBorder="1" applyAlignment="1">
      <alignment horizontal="center"/>
    </xf>
    <xf numFmtId="167" fontId="2" fillId="0" borderId="19" xfId="1" applyNumberFormat="1" applyFont="1" applyBorder="1" applyAlignment="1">
      <alignment horizontal="center"/>
    </xf>
    <xf numFmtId="167" fontId="2" fillId="0" borderId="20" xfId="1" applyNumberFormat="1" applyFont="1" applyBorder="1" applyAlignment="1">
      <alignment horizontal="center"/>
    </xf>
    <xf numFmtId="167" fontId="6" fillId="4" borderId="1" xfId="0" applyFont="1" applyFill="1" applyBorder="1" applyAlignment="1">
      <alignment horizontal="center"/>
    </xf>
    <xf numFmtId="167" fontId="6" fillId="4" borderId="5" xfId="0" applyFont="1" applyFill="1" applyBorder="1" applyAlignment="1">
      <alignment horizontal="center"/>
    </xf>
    <xf numFmtId="167" fontId="6" fillId="4" borderId="2" xfId="0" applyFont="1" applyFill="1" applyBorder="1" applyAlignment="1">
      <alignment horizontal="center"/>
    </xf>
    <xf numFmtId="167" fontId="2" fillId="0" borderId="42" xfId="0" applyFont="1" applyBorder="1" applyAlignment="1">
      <alignment horizontal="center"/>
    </xf>
    <xf numFmtId="166" fontId="2" fillId="0" borderId="43" xfId="0" applyNumberFormat="1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7" fontId="2" fillId="0" borderId="40" xfId="0" applyFont="1" applyBorder="1" applyAlignment="1">
      <alignment horizontal="center"/>
    </xf>
    <xf numFmtId="166" fontId="2" fillId="0" borderId="41" xfId="0" applyNumberFormat="1" applyFont="1" applyBorder="1" applyAlignment="1">
      <alignment horizontal="center"/>
    </xf>
    <xf numFmtId="166" fontId="2" fillId="0" borderId="22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7" fontId="6" fillId="5" borderId="1" xfId="0" applyFont="1" applyFill="1" applyBorder="1" applyAlignment="1">
      <alignment horizontal="center"/>
    </xf>
    <xf numFmtId="167" fontId="6" fillId="5" borderId="5" xfId="0" applyFont="1" applyFill="1" applyBorder="1" applyAlignment="1">
      <alignment horizontal="center"/>
    </xf>
    <xf numFmtId="167" fontId="6" fillId="5" borderId="2" xfId="0" applyFont="1" applyFill="1" applyBorder="1" applyAlignment="1">
      <alignment horizontal="center"/>
    </xf>
    <xf numFmtId="167" fontId="2" fillId="0" borderId="44" xfId="0" applyFont="1" applyBorder="1" applyAlignment="1">
      <alignment horizontal="center"/>
    </xf>
    <xf numFmtId="166" fontId="2" fillId="0" borderId="45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7" fontId="6" fillId="6" borderId="1" xfId="0" applyFont="1" applyFill="1" applyBorder="1" applyAlignment="1">
      <alignment horizontal="center"/>
    </xf>
    <xf numFmtId="167" fontId="6" fillId="6" borderId="5" xfId="0" applyFont="1" applyFill="1" applyBorder="1" applyAlignment="1">
      <alignment horizontal="center"/>
    </xf>
    <xf numFmtId="167" fontId="6" fillId="6" borderId="2" xfId="0" applyFont="1" applyFill="1" applyBorder="1" applyAlignment="1">
      <alignment horizontal="center"/>
    </xf>
    <xf numFmtId="167" fontId="6" fillId="0" borderId="0" xfId="0" applyFont="1" applyAlignment="1">
      <alignment horizontal="center"/>
    </xf>
    <xf numFmtId="167" fontId="6" fillId="9" borderId="24" xfId="0" applyFont="1" applyFill="1" applyBorder="1" applyAlignment="1">
      <alignment horizontal="center"/>
    </xf>
    <xf numFmtId="167" fontId="6" fillId="9" borderId="25" xfId="0" applyFont="1" applyFill="1" applyBorder="1" applyAlignment="1">
      <alignment horizontal="center"/>
    </xf>
    <xf numFmtId="167" fontId="6" fillId="9" borderId="26" xfId="0" applyFont="1" applyFill="1" applyBorder="1" applyAlignment="1">
      <alignment horizontal="center"/>
    </xf>
    <xf numFmtId="167" fontId="2" fillId="10" borderId="6" xfId="0" applyFont="1" applyFill="1" applyBorder="1" applyAlignment="1">
      <alignment horizontal="center"/>
    </xf>
    <xf numFmtId="167" fontId="2" fillId="10" borderId="30" xfId="0" applyFont="1" applyFill="1" applyBorder="1" applyAlignment="1">
      <alignment horizontal="center"/>
    </xf>
    <xf numFmtId="167" fontId="2" fillId="10" borderId="7" xfId="0" applyFont="1" applyFill="1" applyBorder="1" applyAlignment="1">
      <alignment horizontal="center"/>
    </xf>
    <xf numFmtId="167" fontId="2" fillId="10" borderId="14" xfId="0" applyFont="1" applyFill="1" applyBorder="1" applyAlignment="1">
      <alignment horizontal="center"/>
    </xf>
    <xf numFmtId="167" fontId="2" fillId="10" borderId="32" xfId="0" applyFont="1" applyFill="1" applyBorder="1" applyAlignment="1">
      <alignment horizontal="center"/>
    </xf>
    <xf numFmtId="167" fontId="2" fillId="10" borderId="15" xfId="0" applyFont="1" applyFill="1" applyBorder="1" applyAlignment="1">
      <alignment horizontal="center"/>
    </xf>
    <xf numFmtId="167" fontId="2" fillId="9" borderId="14" xfId="0" applyFont="1" applyFill="1" applyBorder="1" applyAlignment="1">
      <alignment horizontal="center"/>
    </xf>
    <xf numFmtId="167" fontId="2" fillId="9" borderId="32" xfId="0" applyFont="1" applyFill="1" applyBorder="1" applyAlignment="1">
      <alignment horizontal="center"/>
    </xf>
    <xf numFmtId="167" fontId="2" fillId="9" borderId="15" xfId="0" applyFont="1" applyFill="1" applyBorder="1" applyAlignment="1">
      <alignment horizontal="center"/>
    </xf>
    <xf numFmtId="167" fontId="2" fillId="0" borderId="3" xfId="0" applyFont="1" applyBorder="1" applyAlignment="1">
      <alignment horizontal="center"/>
    </xf>
    <xf numFmtId="167" fontId="2" fillId="0" borderId="4" xfId="0" applyFont="1" applyBorder="1" applyAlignment="1">
      <alignment horizontal="center"/>
    </xf>
    <xf numFmtId="167" fontId="2" fillId="0" borderId="50" xfId="0" applyFont="1" applyBorder="1" applyAlignment="1">
      <alignment horizontal="center"/>
    </xf>
    <xf numFmtId="167" fontId="2" fillId="0" borderId="31" xfId="0" applyFont="1" applyBorder="1" applyAlignment="1">
      <alignment horizontal="center" wrapText="1"/>
    </xf>
    <xf numFmtId="20" fontId="2" fillId="0" borderId="43" xfId="0" applyNumberFormat="1" applyFont="1" applyBorder="1" applyAlignment="1">
      <alignment horizontal="center"/>
    </xf>
    <xf numFmtId="20" fontId="2" fillId="0" borderId="16" xfId="0" applyNumberFormat="1" applyFont="1" applyBorder="1" applyAlignment="1">
      <alignment horizontal="center"/>
    </xf>
    <xf numFmtId="20" fontId="2" fillId="0" borderId="17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50" xfId="0" applyNumberFormat="1" applyFont="1" applyBorder="1" applyAlignment="1">
      <alignment horizontal="center"/>
    </xf>
    <xf numFmtId="167" fontId="11" fillId="7" borderId="47" xfId="0" applyFont="1" applyFill="1" applyBorder="1" applyAlignment="1">
      <alignment horizontal="center"/>
    </xf>
    <xf numFmtId="167" fontId="11" fillId="7" borderId="10" xfId="0" applyFont="1" applyFill="1" applyBorder="1" applyAlignment="1">
      <alignment horizontal="center"/>
    </xf>
    <xf numFmtId="167" fontId="0" fillId="0" borderId="0" xfId="0" applyAlignment="1">
      <alignment horizontal="center"/>
    </xf>
  </cellXfs>
  <cellStyles count="4">
    <cellStyle name="Milliers" xfId="1" builtinId="3"/>
    <cellStyle name="Monétaire" xfId="3" builtinId="4"/>
    <cellStyle name="Normal" xfId="0" builtinId="0"/>
    <cellStyle name="Normal 2" xfId="2" xr:uid="{8FDE19C7-6979-479B-84C3-BEA926CB66E8}"/>
  </cellStyles>
  <dxfs count="671"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CC00"/>
      <color rgb="FFCCFF66"/>
      <color rgb="FF99CCFF"/>
      <color rgb="FFFF7C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tyshee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ty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zoomScale="77" zoomScaleNormal="77" workbookViewId="0">
      <selection activeCell="C15" sqref="C1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46113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/>
      <c r="I4" s="112" t="s">
        <v>3</v>
      </c>
      <c r="J4" s="113"/>
      <c r="K4" s="114">
        <f>E80+C14</f>
        <v>0</v>
      </c>
      <c r="L4" s="115"/>
      <c r="N4" s="6"/>
    </row>
    <row r="5" spans="2:14" ht="16.5" thickBot="1" x14ac:dyDescent="0.3">
      <c r="E5" s="7" t="s">
        <v>4</v>
      </c>
      <c r="F5" s="8"/>
      <c r="I5" s="95" t="s">
        <v>5</v>
      </c>
      <c r="J5" s="96"/>
      <c r="K5" s="97">
        <f>E15+E81</f>
        <v>0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0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/>
      <c r="D10" s="19"/>
      <c r="E10" s="49"/>
      <c r="F10" s="20" t="s">
        <v>9</v>
      </c>
      <c r="G10" s="21"/>
      <c r="H10" s="6"/>
      <c r="I10" s="137"/>
      <c r="J10" s="138"/>
      <c r="K10" s="139"/>
      <c r="L10" s="21"/>
    </row>
    <row r="11" spans="2:14" ht="21.6" customHeight="1" x14ac:dyDescent="0.25">
      <c r="B11" s="17" t="s">
        <v>453</v>
      </c>
      <c r="C11" s="18"/>
      <c r="D11" s="22"/>
      <c r="E11" s="50"/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/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461</v>
      </c>
      <c r="D15" s="28" t="s">
        <v>11</v>
      </c>
      <c r="E15" s="29">
        <f>SUM(E10:E14)</f>
        <v>0</v>
      </c>
      <c r="F15" s="30" t="s">
        <v>11</v>
      </c>
      <c r="G15" s="31">
        <f>SUM(G10:G14)</f>
        <v>0</v>
      </c>
      <c r="H15" s="6"/>
      <c r="I15" s="116" t="s">
        <v>457</v>
      </c>
      <c r="J15" s="117"/>
      <c r="K15" s="118"/>
      <c r="L15" s="32"/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(SUM(L10:L15))*1</f>
        <v>0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</sheetData>
  <mergeCells count="145">
    <mergeCell ref="B81:D81"/>
    <mergeCell ref="B82:D82"/>
    <mergeCell ref="B69:D69"/>
    <mergeCell ref="F69:K69"/>
    <mergeCell ref="B70:D70"/>
    <mergeCell ref="F70:K70"/>
    <mergeCell ref="B71:D71"/>
    <mergeCell ref="F71:K71"/>
    <mergeCell ref="B72:D72"/>
    <mergeCell ref="F72:K72"/>
    <mergeCell ref="B73:D73"/>
    <mergeCell ref="F73:K73"/>
    <mergeCell ref="B74:D74"/>
    <mergeCell ref="F74:K74"/>
    <mergeCell ref="B75:D75"/>
    <mergeCell ref="F75:K75"/>
    <mergeCell ref="B76:D76"/>
    <mergeCell ref="F76:K76"/>
    <mergeCell ref="B77:D77"/>
    <mergeCell ref="F77:K77"/>
    <mergeCell ref="B78:D78"/>
    <mergeCell ref="F78:K78"/>
    <mergeCell ref="B80:D80"/>
    <mergeCell ref="B68:D68"/>
    <mergeCell ref="F68:K68"/>
    <mergeCell ref="B57:D57"/>
    <mergeCell ref="F57:K57"/>
    <mergeCell ref="B58:D58"/>
    <mergeCell ref="F58:K58"/>
    <mergeCell ref="B59:D59"/>
    <mergeCell ref="F59:K59"/>
    <mergeCell ref="B60:D60"/>
    <mergeCell ref="F60:K60"/>
    <mergeCell ref="B61:D61"/>
    <mergeCell ref="F61:K61"/>
    <mergeCell ref="B62:D62"/>
    <mergeCell ref="F62:K62"/>
    <mergeCell ref="B63:D63"/>
    <mergeCell ref="F63:K63"/>
    <mergeCell ref="B64:D64"/>
    <mergeCell ref="F64:K64"/>
    <mergeCell ref="B65:D65"/>
    <mergeCell ref="F65:K65"/>
    <mergeCell ref="B66:D66"/>
    <mergeCell ref="F66:K66"/>
    <mergeCell ref="B67:D67"/>
    <mergeCell ref="F67:K67"/>
    <mergeCell ref="B56:D56"/>
    <mergeCell ref="F56:K56"/>
    <mergeCell ref="B45:D45"/>
    <mergeCell ref="F45:K45"/>
    <mergeCell ref="B46:D46"/>
    <mergeCell ref="F46:K46"/>
    <mergeCell ref="B47:D47"/>
    <mergeCell ref="F47:K47"/>
    <mergeCell ref="B48:D48"/>
    <mergeCell ref="F48:K48"/>
    <mergeCell ref="B49:D49"/>
    <mergeCell ref="F49:K49"/>
    <mergeCell ref="B50:D50"/>
    <mergeCell ref="F50:K50"/>
    <mergeCell ref="B51:D51"/>
    <mergeCell ref="F51:K51"/>
    <mergeCell ref="B52:D52"/>
    <mergeCell ref="F52:K52"/>
    <mergeCell ref="B53:D53"/>
    <mergeCell ref="F53:K53"/>
    <mergeCell ref="B54:D54"/>
    <mergeCell ref="F54:K54"/>
    <mergeCell ref="B55:D55"/>
    <mergeCell ref="F55:K55"/>
    <mergeCell ref="B44:D44"/>
    <mergeCell ref="F44:K44"/>
    <mergeCell ref="B33:D33"/>
    <mergeCell ref="H33:K33"/>
    <mergeCell ref="B34:D34"/>
    <mergeCell ref="H34:K34"/>
    <mergeCell ref="B35:D35"/>
    <mergeCell ref="H35:K35"/>
    <mergeCell ref="B36:D36"/>
    <mergeCell ref="H36:K36"/>
    <mergeCell ref="B37:D37"/>
    <mergeCell ref="H37:K37"/>
    <mergeCell ref="B38:D38"/>
    <mergeCell ref="F38:K38"/>
    <mergeCell ref="B39:D39"/>
    <mergeCell ref="F39:K39"/>
    <mergeCell ref="B40:D40"/>
    <mergeCell ref="F40:K40"/>
    <mergeCell ref="B41:D41"/>
    <mergeCell ref="F41:K41"/>
    <mergeCell ref="B42:D42"/>
    <mergeCell ref="F42:K42"/>
    <mergeCell ref="B43:D43"/>
    <mergeCell ref="I7:J7"/>
    <mergeCell ref="K7:L7"/>
    <mergeCell ref="B8:C8"/>
    <mergeCell ref="D8:E8"/>
    <mergeCell ref="F8:G8"/>
    <mergeCell ref="I9:K9"/>
    <mergeCell ref="I10:K10"/>
    <mergeCell ref="F43:K43"/>
    <mergeCell ref="B32:D32"/>
    <mergeCell ref="H32:K32"/>
    <mergeCell ref="B21:D21"/>
    <mergeCell ref="H21:K21"/>
    <mergeCell ref="B22:D22"/>
    <mergeCell ref="H22:K22"/>
    <mergeCell ref="B23:D23"/>
    <mergeCell ref="H23:K23"/>
    <mergeCell ref="B24:D24"/>
    <mergeCell ref="H24:K24"/>
    <mergeCell ref="B25:D25"/>
    <mergeCell ref="H25:K25"/>
    <mergeCell ref="B26:D26"/>
    <mergeCell ref="H26:K26"/>
    <mergeCell ref="B27:D27"/>
    <mergeCell ref="H27:K27"/>
    <mergeCell ref="J1:L1"/>
    <mergeCell ref="E3:F3"/>
    <mergeCell ref="I3:L3"/>
    <mergeCell ref="I4:J4"/>
    <mergeCell ref="K4:L4"/>
    <mergeCell ref="I5:J5"/>
    <mergeCell ref="K5:L5"/>
    <mergeCell ref="I6:J6"/>
    <mergeCell ref="K6:L6"/>
    <mergeCell ref="I11:K11"/>
    <mergeCell ref="H31:K31"/>
    <mergeCell ref="I14:K14"/>
    <mergeCell ref="I15:K15"/>
    <mergeCell ref="A18:L18"/>
    <mergeCell ref="B19:D19"/>
    <mergeCell ref="H19:K19"/>
    <mergeCell ref="B20:D20"/>
    <mergeCell ref="H20:K20"/>
    <mergeCell ref="B28:D28"/>
    <mergeCell ref="H28:K28"/>
    <mergeCell ref="B29:D29"/>
    <mergeCell ref="H29:K29"/>
    <mergeCell ref="B30:D30"/>
    <mergeCell ref="H30:K30"/>
    <mergeCell ref="B31:D31"/>
    <mergeCell ref="I12:K12"/>
    <mergeCell ref="I13:K13"/>
  </mergeCells>
  <conditionalFormatting sqref="A18:A19">
    <cfRule type="cellIs" dxfId="670" priority="1" stopIfTrue="1" operator="equal">
      <formula>"OK"</formula>
    </cfRule>
  </conditionalFormatting>
  <conditionalFormatting sqref="A85:XFD1048576">
    <cfRule type="cellIs" dxfId="669" priority="13" stopIfTrue="1" operator="equal">
      <formula>"OK"</formula>
    </cfRule>
  </conditionalFormatting>
  <conditionalFormatting sqref="B49:B52 B20:H37">
    <cfRule type="expression" dxfId="668" priority="20">
      <formula>$J20="ancien paiement"</formula>
    </cfRule>
  </conditionalFormatting>
  <conditionalFormatting sqref="B60:B62 E60:F62 B67:D67 E67:F68 B68 B69:K69 B70 E70:F70 B71:K78">
    <cfRule type="expression" dxfId="667" priority="19">
      <formula>$F60="ancien paiement"</formula>
    </cfRule>
    <cfRule type="expression" dxfId="666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665" priority="22" stopIfTrue="1" operator="equal">
      <formula>"OK"</formula>
    </cfRule>
  </conditionalFormatting>
  <conditionalFormatting sqref="B9:I16">
    <cfRule type="cellIs" dxfId="664" priority="11" stopIfTrue="1" operator="equal">
      <formula>"OK"</formula>
    </cfRule>
  </conditionalFormatting>
  <conditionalFormatting sqref="B39:K39">
    <cfRule type="expression" dxfId="663" priority="18">
      <formula>$J39="ancien paiement"</formula>
    </cfRule>
  </conditionalFormatting>
  <conditionalFormatting sqref="B39:K48 B49:B52">
    <cfRule type="expression" dxfId="662" priority="5">
      <formula>$F39="ancien paiement"</formula>
    </cfRule>
  </conditionalFormatting>
  <conditionalFormatting sqref="B41:K48">
    <cfRule type="expression" dxfId="661" priority="6">
      <formula>$J41="ancien paiement"</formula>
    </cfRule>
  </conditionalFormatting>
  <conditionalFormatting sqref="B54:K59">
    <cfRule type="expression" dxfId="660" priority="7">
      <formula>$F54="ancien paiement"</formula>
    </cfRule>
    <cfRule type="expression" dxfId="659" priority="8">
      <formula>$J54="ancien paiement"</formula>
    </cfRule>
  </conditionalFormatting>
  <conditionalFormatting sqref="B63:K64">
    <cfRule type="expression" dxfId="658" priority="16">
      <formula>$F63="ancien paiement"</formula>
    </cfRule>
    <cfRule type="expression" dxfId="657" priority="17">
      <formula>$J63="ancien paiement"</formula>
    </cfRule>
  </conditionalFormatting>
  <conditionalFormatting sqref="B66:K66">
    <cfRule type="expression" dxfId="656" priority="14">
      <formula>$F66="ancien paiement"</formula>
    </cfRule>
    <cfRule type="expression" dxfId="655" priority="15">
      <formula>$J66="ancien paiement"</formula>
    </cfRule>
  </conditionalFormatting>
  <conditionalFormatting sqref="B51:L57 B48:L49 B50:D50">
    <cfRule type="cellIs" dxfId="654" priority="9" stopIfTrue="1" operator="equal">
      <formula>"OK"</formula>
    </cfRule>
  </conditionalFormatting>
  <conditionalFormatting sqref="E49">
    <cfRule type="expression" dxfId="653" priority="10">
      <formula>#REF!="ancien paiement"</formula>
    </cfRule>
  </conditionalFormatting>
  <conditionalFormatting sqref="E49:F52">
    <cfRule type="expression" dxfId="652" priority="2">
      <formula>$F49="ancien paiement"</formula>
    </cfRule>
    <cfRule type="expression" dxfId="651" priority="3">
      <formula>$J49="ancien paiement"</formula>
    </cfRule>
  </conditionalFormatting>
  <conditionalFormatting sqref="E4:I6">
    <cfRule type="cellIs" dxfId="650" priority="12" stopIfTrue="1" operator="equal">
      <formula>"OK"</formula>
    </cfRule>
  </conditionalFormatting>
  <conditionalFormatting sqref="E50:L50">
    <cfRule type="cellIs" dxfId="649" priority="4" stopIfTrue="1" operator="equal">
      <formula>"OK"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CA23-E4C3-4833-8BF2-14225E4AE325}">
  <sheetPr>
    <pageSetUpPr fitToPage="1"/>
  </sheetPr>
  <dimension ref="A1:N89"/>
  <sheetViews>
    <sheetView topLeftCell="A29" workbookViewId="0">
      <selection activeCell="L16" sqref="L1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46113</v>
      </c>
      <c r="K1" s="105"/>
      <c r="L1" s="105"/>
    </row>
    <row r="2" spans="2:14" ht="16.5" thickBot="1" x14ac:dyDescent="0.3">
      <c r="G2" s="1" t="s">
        <v>467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468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9640</v>
      </c>
      <c r="G4" s="1" t="s">
        <v>469</v>
      </c>
      <c r="I4" s="112" t="s">
        <v>3</v>
      </c>
      <c r="J4" s="113"/>
      <c r="K4" s="114">
        <f>E82+C14</f>
        <v>9653.02</v>
      </c>
      <c r="L4" s="115"/>
      <c r="N4" s="6"/>
    </row>
    <row r="5" spans="2:14" ht="16.5" thickBot="1" x14ac:dyDescent="0.3">
      <c r="E5" s="7" t="s">
        <v>4</v>
      </c>
      <c r="F5" s="8">
        <v>4711.78</v>
      </c>
      <c r="G5" s="1" t="s">
        <v>470</v>
      </c>
      <c r="I5" s="95" t="s">
        <v>5</v>
      </c>
      <c r="J5" s="96"/>
      <c r="K5" s="97">
        <f>E15+E83</f>
        <v>4711.7800000000007</v>
      </c>
      <c r="L5" s="98"/>
      <c r="N5" s="6"/>
    </row>
    <row r="6" spans="2:14" ht="16.5" thickBot="1" x14ac:dyDescent="0.3">
      <c r="E6" s="9" t="s">
        <v>445</v>
      </c>
      <c r="F6" s="10">
        <v>13.02</v>
      </c>
      <c r="I6" s="95" t="s">
        <v>446</v>
      </c>
      <c r="J6" s="96"/>
      <c r="K6" s="97">
        <f>G15+E84</f>
        <v>16314.77</v>
      </c>
      <c r="L6" s="98"/>
    </row>
    <row r="7" spans="2:14" ht="16.5" thickBot="1" x14ac:dyDescent="0.3">
      <c r="I7" s="99" t="s">
        <v>6</v>
      </c>
      <c r="J7" s="100"/>
      <c r="K7" s="101">
        <f>SUM(E58:E63)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2300</v>
      </c>
      <c r="D9" s="14" t="s">
        <v>7</v>
      </c>
      <c r="E9" s="15" t="s">
        <v>8</v>
      </c>
      <c r="F9" s="15" t="s">
        <v>7</v>
      </c>
      <c r="G9" s="15" t="s">
        <v>8</v>
      </c>
      <c r="I9" s="177" t="s">
        <v>451</v>
      </c>
      <c r="J9" s="178"/>
      <c r="K9" s="179"/>
      <c r="L9" s="16" t="s">
        <v>8</v>
      </c>
    </row>
    <row r="10" spans="2:14" ht="24.6" customHeight="1" x14ac:dyDescent="0.25">
      <c r="B10" s="17" t="s">
        <v>452</v>
      </c>
      <c r="C10" s="18">
        <v>3100</v>
      </c>
      <c r="D10" s="19" t="s">
        <v>471</v>
      </c>
      <c r="E10" s="49">
        <v>530.05999999999995</v>
      </c>
      <c r="F10" s="20" t="s">
        <v>9</v>
      </c>
      <c r="G10" s="21">
        <v>16314.77</v>
      </c>
      <c r="H10" s="6"/>
      <c r="I10" s="180" t="s">
        <v>472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2300</v>
      </c>
      <c r="D11" s="22"/>
      <c r="E11" s="50"/>
      <c r="F11" s="23" t="s">
        <v>454</v>
      </c>
      <c r="G11" s="24"/>
      <c r="H11" s="6"/>
      <c r="I11" s="140" t="s">
        <v>473</v>
      </c>
      <c r="J11" s="141"/>
      <c r="K11" s="142"/>
      <c r="L11" s="21">
        <v>600</v>
      </c>
    </row>
    <row r="12" spans="2:14" ht="21.6" customHeight="1" x14ac:dyDescent="0.25">
      <c r="B12" s="17" t="s">
        <v>455</v>
      </c>
      <c r="C12" s="18">
        <v>120</v>
      </c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7820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713</v>
      </c>
      <c r="D15" s="28" t="s">
        <v>11</v>
      </c>
      <c r="E15" s="29">
        <f>SUM(E10:E14)</f>
        <v>530.05999999999995</v>
      </c>
      <c r="F15" s="30" t="s">
        <v>11</v>
      </c>
      <c r="G15" s="31">
        <f>SUM(G10:G14)</f>
        <v>16314.77</v>
      </c>
      <c r="H15" s="6"/>
      <c r="I15" s="116" t="s">
        <v>457</v>
      </c>
      <c r="J15" s="117"/>
      <c r="K15" s="118"/>
      <c r="L15" s="32" t="e">
        <f>C15+[1]emptysheet!C15</f>
        <v>#REF!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 t="e">
        <f>(SUM(L10:L15))*-1</f>
        <v>#REF!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34</v>
      </c>
      <c r="B20" s="128" t="s">
        <v>474</v>
      </c>
      <c r="C20" s="129"/>
      <c r="D20" s="130"/>
      <c r="E20" s="20">
        <v>284.64</v>
      </c>
      <c r="F20" s="12" t="s">
        <v>35</v>
      </c>
      <c r="G20" s="51">
        <v>8622364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43</v>
      </c>
      <c r="B21" s="143" t="s">
        <v>475</v>
      </c>
      <c r="C21" s="144"/>
      <c r="D21" s="145"/>
      <c r="E21" s="20">
        <v>300.51</v>
      </c>
      <c r="F21" s="23" t="s">
        <v>44</v>
      </c>
      <c r="G21" s="52">
        <v>2719859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45</v>
      </c>
      <c r="B22" s="143" t="s">
        <v>48</v>
      </c>
      <c r="C22" s="144"/>
      <c r="D22" s="145"/>
      <c r="E22" s="20">
        <v>569.09</v>
      </c>
      <c r="F22" s="23" t="s">
        <v>46</v>
      </c>
      <c r="G22" s="52">
        <v>4163035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49</v>
      </c>
      <c r="B23" s="143" t="s">
        <v>476</v>
      </c>
      <c r="C23" s="144"/>
      <c r="D23" s="145"/>
      <c r="E23" s="20">
        <v>918.2</v>
      </c>
      <c r="F23" s="23" t="s">
        <v>44</v>
      </c>
      <c r="G23" s="52">
        <v>4947306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55</v>
      </c>
      <c r="B24" s="143" t="s">
        <v>477</v>
      </c>
      <c r="C24" s="144"/>
      <c r="D24" s="145"/>
      <c r="E24" s="20">
        <v>214.57</v>
      </c>
      <c r="F24" s="23" t="s">
        <v>56</v>
      </c>
      <c r="G24" s="52">
        <v>214.57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57</v>
      </c>
      <c r="B25" s="143" t="s">
        <v>478</v>
      </c>
      <c r="C25" s="144"/>
      <c r="D25" s="145"/>
      <c r="E25" s="20">
        <v>278.14999999999998</v>
      </c>
      <c r="F25" s="23" t="s">
        <v>58</v>
      </c>
      <c r="G25" s="52">
        <v>705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59</v>
      </c>
      <c r="B26" s="143" t="s">
        <v>479</v>
      </c>
      <c r="C26" s="144"/>
      <c r="D26" s="145"/>
      <c r="E26" s="20">
        <v>311.95999999999998</v>
      </c>
      <c r="F26" s="23" t="s">
        <v>60</v>
      </c>
      <c r="G26" s="52">
        <v>2265447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61</v>
      </c>
      <c r="B27" s="143" t="s">
        <v>480</v>
      </c>
      <c r="C27" s="144"/>
      <c r="D27" s="145"/>
      <c r="E27" s="20">
        <v>815.99</v>
      </c>
      <c r="F27" s="23" t="s">
        <v>62</v>
      </c>
      <c r="G27" s="52">
        <v>2362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63</v>
      </c>
      <c r="B28" s="143" t="s">
        <v>481</v>
      </c>
      <c r="C28" s="144"/>
      <c r="D28" s="145"/>
      <c r="E28" s="20">
        <v>488.61</v>
      </c>
      <c r="F28" s="23" t="s">
        <v>56</v>
      </c>
      <c r="G28" s="52">
        <v>2693023</v>
      </c>
      <c r="H28" s="146"/>
      <c r="I28" s="147"/>
      <c r="J28" s="147"/>
      <c r="K28" s="148"/>
      <c r="L28" s="23" t="s">
        <v>33</v>
      </c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17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ht="16.5" thickBot="1" x14ac:dyDescent="0.3">
      <c r="A36" s="66"/>
      <c r="B36" s="149"/>
      <c r="C36" s="150"/>
      <c r="D36" s="151"/>
      <c r="E36" s="20"/>
      <c r="F36" s="29"/>
      <c r="G36" s="53"/>
      <c r="H36" s="152"/>
      <c r="I36" s="153"/>
      <c r="J36" s="153"/>
      <c r="K36" s="154"/>
      <c r="L36" s="29"/>
    </row>
    <row r="37" spans="1:12" ht="16.5" thickBot="1" x14ac:dyDescent="0.3">
      <c r="A37" s="72" t="s">
        <v>458</v>
      </c>
      <c r="B37" s="155" t="s">
        <v>460</v>
      </c>
      <c r="C37" s="156"/>
      <c r="D37" s="157"/>
      <c r="E37" s="36" t="s">
        <v>8</v>
      </c>
      <c r="F37" s="119" t="s">
        <v>15</v>
      </c>
      <c r="G37" s="120"/>
      <c r="H37" s="120"/>
      <c r="I37" s="120"/>
      <c r="J37" s="120"/>
      <c r="K37" s="121"/>
      <c r="L37" s="40" t="s">
        <v>16</v>
      </c>
    </row>
    <row r="38" spans="1:12" x14ac:dyDescent="0.25">
      <c r="A38" s="66" t="s">
        <v>50</v>
      </c>
      <c r="B38" s="128" t="s">
        <v>482</v>
      </c>
      <c r="C38" s="129"/>
      <c r="D38" s="162"/>
      <c r="E38" s="41">
        <v>910.68</v>
      </c>
      <c r="F38" s="163"/>
      <c r="G38" s="164"/>
      <c r="H38" s="164"/>
      <c r="I38" s="164"/>
      <c r="J38" s="164"/>
      <c r="K38" s="165"/>
      <c r="L38" s="42" t="s">
        <v>33</v>
      </c>
    </row>
    <row r="39" spans="1:12" x14ac:dyDescent="0.25">
      <c r="A39" s="66" t="s">
        <v>51</v>
      </c>
      <c r="B39" s="143" t="s">
        <v>483</v>
      </c>
      <c r="C39" s="144"/>
      <c r="D39" s="158"/>
      <c r="E39" s="43">
        <v>449.98</v>
      </c>
      <c r="F39" s="159"/>
      <c r="G39" s="160"/>
      <c r="H39" s="160"/>
      <c r="I39" s="160"/>
      <c r="J39" s="160"/>
      <c r="K39" s="161"/>
      <c r="L39" s="23" t="s">
        <v>33</v>
      </c>
    </row>
    <row r="40" spans="1:12" x14ac:dyDescent="0.25">
      <c r="A40" s="66" t="s">
        <v>53</v>
      </c>
      <c r="B40" s="143" t="s">
        <v>52</v>
      </c>
      <c r="C40" s="144"/>
      <c r="D40" s="158"/>
      <c r="E40" s="43">
        <v>394.36</v>
      </c>
      <c r="F40" s="159"/>
      <c r="G40" s="160"/>
      <c r="H40" s="160"/>
      <c r="I40" s="160"/>
      <c r="J40" s="160"/>
      <c r="K40" s="161"/>
      <c r="L40" s="17" t="s">
        <v>33</v>
      </c>
    </row>
    <row r="41" spans="1:12" x14ac:dyDescent="0.25">
      <c r="A41" s="66"/>
      <c r="B41" s="143" t="s">
        <v>484</v>
      </c>
      <c r="C41" s="144"/>
      <c r="D41" s="158"/>
      <c r="E41" s="43">
        <v>78</v>
      </c>
      <c r="F41" s="159"/>
      <c r="G41" s="160"/>
      <c r="H41" s="160"/>
      <c r="I41" s="160"/>
      <c r="J41" s="160"/>
      <c r="K41" s="161"/>
      <c r="L41" s="23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ht="16.5" thickBot="1" x14ac:dyDescent="0.3">
      <c r="A46" s="66"/>
      <c r="B46" s="149"/>
      <c r="C46" s="150"/>
      <c r="D46" s="169"/>
      <c r="E46" s="43"/>
      <c r="F46" s="170"/>
      <c r="G46" s="171"/>
      <c r="H46" s="171"/>
      <c r="I46" s="171"/>
      <c r="J46" s="171"/>
      <c r="K46" s="172"/>
      <c r="L46" s="44"/>
    </row>
    <row r="47" spans="1:12" ht="16.5" thickBot="1" x14ac:dyDescent="0.3">
      <c r="A47" s="71" t="s">
        <v>458</v>
      </c>
      <c r="B47" s="166" t="s">
        <v>461</v>
      </c>
      <c r="C47" s="167"/>
      <c r="D47" s="168"/>
      <c r="E47" s="36" t="s">
        <v>8</v>
      </c>
      <c r="F47" s="119" t="s">
        <v>15</v>
      </c>
      <c r="G47" s="120"/>
      <c r="H47" s="120"/>
      <c r="I47" s="120"/>
      <c r="J47" s="120"/>
      <c r="K47" s="121"/>
      <c r="L47" s="39" t="s">
        <v>16</v>
      </c>
    </row>
    <row r="48" spans="1:12" x14ac:dyDescent="0.25">
      <c r="A48" s="66"/>
      <c r="B48" s="143"/>
      <c r="C48" s="144"/>
      <c r="D48" s="158"/>
      <c r="E48" s="43"/>
      <c r="F48" s="159"/>
      <c r="G48" s="160"/>
      <c r="H48" s="160"/>
      <c r="I48" s="160"/>
      <c r="J48" s="160"/>
      <c r="K48" s="161"/>
      <c r="L48" s="20"/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ht="16.5" thickBot="1" x14ac:dyDescent="0.3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71" t="s">
        <v>458</v>
      </c>
      <c r="B52" s="166" t="s">
        <v>462</v>
      </c>
      <c r="C52" s="167"/>
      <c r="D52" s="168"/>
      <c r="E52" s="36" t="s">
        <v>8</v>
      </c>
      <c r="F52" s="119" t="s">
        <v>15</v>
      </c>
      <c r="G52" s="120"/>
      <c r="H52" s="120"/>
      <c r="I52" s="120"/>
      <c r="J52" s="120"/>
      <c r="K52" s="121"/>
      <c r="L52" s="39" t="s">
        <v>16</v>
      </c>
    </row>
    <row r="53" spans="1:12" x14ac:dyDescent="0.25">
      <c r="A53" s="66"/>
      <c r="B53" s="143"/>
      <c r="C53" s="144">
        <v>802.36</v>
      </c>
      <c r="D53" s="158" t="s">
        <v>18</v>
      </c>
      <c r="E53" s="43"/>
      <c r="F53" s="163"/>
      <c r="G53" s="164"/>
      <c r="H53" s="164"/>
      <c r="I53" s="164"/>
      <c r="J53" s="164"/>
      <c r="K53" s="165"/>
      <c r="L53" s="20"/>
    </row>
    <row r="54" spans="1:12" x14ac:dyDescent="0.25">
      <c r="A54" s="66"/>
      <c r="B54" s="143"/>
      <c r="C54" s="144">
        <v>675.28</v>
      </c>
      <c r="D54" s="158" t="s">
        <v>19</v>
      </c>
      <c r="E54" s="43"/>
      <c r="F54" s="159"/>
      <c r="G54" s="160"/>
      <c r="H54" s="160"/>
      <c r="I54" s="160"/>
      <c r="J54" s="160"/>
      <c r="K54" s="161"/>
      <c r="L54" s="23"/>
    </row>
    <row r="55" spans="1:12" x14ac:dyDescent="0.25">
      <c r="A55" s="66"/>
      <c r="B55" s="143"/>
      <c r="C55" s="144">
        <v>689.72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ht="16.5" thickBot="1" x14ac:dyDescent="0.3">
      <c r="A56" s="66"/>
      <c r="B56" s="143"/>
      <c r="C56" s="144">
        <v>340.26</v>
      </c>
      <c r="D56" s="158" t="s">
        <v>20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71" t="s">
        <v>458</v>
      </c>
      <c r="B57" s="166" t="s">
        <v>17</v>
      </c>
      <c r="C57" s="167"/>
      <c r="D57" s="168"/>
      <c r="E57" s="36" t="s">
        <v>8</v>
      </c>
      <c r="F57" s="119" t="s">
        <v>15</v>
      </c>
      <c r="G57" s="120"/>
      <c r="H57" s="120"/>
      <c r="I57" s="120"/>
      <c r="J57" s="120"/>
      <c r="K57" s="121"/>
      <c r="L57" s="39" t="s">
        <v>16</v>
      </c>
    </row>
    <row r="58" spans="1:12" x14ac:dyDescent="0.25">
      <c r="A58" s="66"/>
      <c r="B58" s="128"/>
      <c r="C58" s="129"/>
      <c r="D58" s="162"/>
      <c r="E58" s="43"/>
      <c r="F58" s="163"/>
      <c r="G58" s="164"/>
      <c r="H58" s="164"/>
      <c r="I58" s="164"/>
      <c r="J58" s="164"/>
      <c r="K58" s="165"/>
      <c r="L58" s="23"/>
    </row>
    <row r="59" spans="1:12" x14ac:dyDescent="0.25">
      <c r="A59" s="66"/>
      <c r="B59" s="143"/>
      <c r="C59" s="144"/>
      <c r="D59" s="158"/>
      <c r="E59" s="43"/>
      <c r="F59" s="159"/>
      <c r="G59" s="160"/>
      <c r="H59" s="160"/>
      <c r="I59" s="160"/>
      <c r="J59" s="160"/>
      <c r="K59" s="161"/>
      <c r="L59" s="44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ht="16.5" thickBot="1" x14ac:dyDescent="0.3">
      <c r="A63" s="67"/>
      <c r="B63" s="149"/>
      <c r="C63" s="150"/>
      <c r="D63" s="169"/>
      <c r="E63" s="43"/>
      <c r="F63" s="170"/>
      <c r="G63" s="171"/>
      <c r="H63" s="171"/>
      <c r="I63" s="171"/>
      <c r="J63" s="171"/>
      <c r="K63" s="172"/>
      <c r="L63" s="29"/>
    </row>
    <row r="64" spans="1:12" ht="16.5" thickBot="1" x14ac:dyDescent="0.3">
      <c r="A64" s="70" t="s">
        <v>458</v>
      </c>
      <c r="B64" s="173" t="s">
        <v>463</v>
      </c>
      <c r="C64" s="174"/>
      <c r="D64" s="175"/>
      <c r="E64" s="36" t="s">
        <v>8</v>
      </c>
      <c r="F64" s="119" t="s">
        <v>15</v>
      </c>
      <c r="G64" s="120"/>
      <c r="H64" s="120"/>
      <c r="I64" s="120"/>
      <c r="J64" s="120"/>
      <c r="K64" s="121"/>
      <c r="L64" s="39" t="s">
        <v>16</v>
      </c>
    </row>
    <row r="65" spans="1:12" ht="16.5" thickBot="1" x14ac:dyDescent="0.3">
      <c r="A65" s="17" t="s">
        <v>32</v>
      </c>
      <c r="B65" s="128" t="s">
        <v>485</v>
      </c>
      <c r="C65" s="129"/>
      <c r="D65" s="162"/>
      <c r="E65" s="43">
        <v>2270.4</v>
      </c>
      <c r="F65" s="163"/>
      <c r="G65" s="164"/>
      <c r="H65" s="164"/>
      <c r="I65" s="164"/>
      <c r="J65" s="164"/>
      <c r="K65" s="165"/>
      <c r="L65" s="23" t="s">
        <v>33</v>
      </c>
    </row>
    <row r="66" spans="1:12" x14ac:dyDescent="0.25">
      <c r="A66" s="17" t="s">
        <v>36</v>
      </c>
      <c r="B66" s="128" t="s">
        <v>486</v>
      </c>
      <c r="C66" s="129"/>
      <c r="D66" s="162"/>
      <c r="E66" s="43">
        <v>820.83</v>
      </c>
      <c r="F66" s="159"/>
      <c r="G66" s="160"/>
      <c r="H66" s="160"/>
      <c r="I66" s="160"/>
      <c r="J66" s="160"/>
      <c r="K66" s="161"/>
      <c r="L66" s="23" t="s">
        <v>33</v>
      </c>
    </row>
    <row r="67" spans="1:12" x14ac:dyDescent="0.25">
      <c r="A67" s="17" t="s">
        <v>37</v>
      </c>
      <c r="B67" s="143" t="s">
        <v>487</v>
      </c>
      <c r="C67" s="144"/>
      <c r="D67" s="158"/>
      <c r="E67" s="43">
        <v>371.49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 t="s">
        <v>38</v>
      </c>
      <c r="B68" s="143" t="s">
        <v>488</v>
      </c>
      <c r="C68" s="144"/>
      <c r="D68" s="158"/>
      <c r="E68" s="43">
        <v>611.79999999999995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17" t="s">
        <v>39</v>
      </c>
      <c r="B69" s="143" t="s">
        <v>489</v>
      </c>
      <c r="C69" s="144"/>
      <c r="D69" s="158"/>
      <c r="E69" s="43">
        <v>327.33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40</v>
      </c>
      <c r="B70" s="143" t="s">
        <v>490</v>
      </c>
      <c r="C70" s="144"/>
      <c r="D70" s="158"/>
      <c r="E70" s="43">
        <v>401.24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17" t="s">
        <v>41</v>
      </c>
      <c r="B71" s="143" t="s">
        <v>491</v>
      </c>
      <c r="C71" s="144"/>
      <c r="D71" s="158"/>
      <c r="E71" s="43">
        <v>795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42</v>
      </c>
      <c r="B72" s="143" t="s">
        <v>492</v>
      </c>
      <c r="C72" s="144"/>
      <c r="D72" s="158"/>
      <c r="E72" s="43">
        <v>296.33999999999997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17" t="s">
        <v>47</v>
      </c>
      <c r="B73" s="143" t="s">
        <v>493</v>
      </c>
      <c r="C73" s="144"/>
      <c r="D73" s="158"/>
      <c r="E73" s="43">
        <v>317.13</v>
      </c>
      <c r="F73" s="159"/>
      <c r="G73" s="160"/>
      <c r="H73" s="160"/>
      <c r="I73" s="160"/>
      <c r="J73" s="160"/>
      <c r="K73" s="161"/>
      <c r="L73" s="23" t="s">
        <v>33</v>
      </c>
    </row>
    <row r="74" spans="1:12" x14ac:dyDescent="0.25">
      <c r="A74" s="17" t="s">
        <v>54</v>
      </c>
      <c r="B74" s="74"/>
      <c r="C74" s="75" t="s">
        <v>494</v>
      </c>
      <c r="D74" s="76"/>
      <c r="E74" s="43">
        <v>331.99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 t="s">
        <v>64</v>
      </c>
      <c r="B75" s="74"/>
      <c r="C75" s="75" t="s">
        <v>495</v>
      </c>
      <c r="D75" s="76"/>
      <c r="E75" s="43">
        <v>421.77</v>
      </c>
      <c r="F75" s="77"/>
      <c r="G75" s="78"/>
      <c r="H75" s="78"/>
      <c r="I75" s="78"/>
      <c r="J75" s="78"/>
      <c r="K75" s="79"/>
      <c r="L75" s="23" t="s">
        <v>33</v>
      </c>
    </row>
    <row r="76" spans="1:12" x14ac:dyDescent="0.25">
      <c r="A76" s="17" t="s">
        <v>65</v>
      </c>
      <c r="B76" s="74"/>
      <c r="C76" s="75" t="s">
        <v>496</v>
      </c>
      <c r="D76" s="76"/>
      <c r="E76" s="43">
        <v>332.07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66</v>
      </c>
      <c r="B77" s="143" t="s">
        <v>497</v>
      </c>
      <c r="C77" s="144"/>
      <c r="D77" s="158"/>
      <c r="E77" s="43">
        <v>333.8</v>
      </c>
      <c r="F77" s="159"/>
      <c r="G77" s="160"/>
      <c r="H77" s="160"/>
      <c r="I77" s="160"/>
      <c r="J77" s="160"/>
      <c r="K77" s="161"/>
      <c r="L77" s="17" t="s">
        <v>33</v>
      </c>
    </row>
    <row r="78" spans="1:12" x14ac:dyDescent="0.25">
      <c r="A78" s="17" t="s">
        <v>67</v>
      </c>
      <c r="B78" s="143" t="s">
        <v>498</v>
      </c>
      <c r="C78" s="144"/>
      <c r="D78" s="158"/>
      <c r="E78" s="43">
        <v>283.51</v>
      </c>
      <c r="F78" s="159"/>
      <c r="G78" s="160"/>
      <c r="H78" s="160"/>
      <c r="I78" s="160"/>
      <c r="J78" s="160"/>
      <c r="K78" s="161"/>
      <c r="L78" s="17" t="s">
        <v>33</v>
      </c>
    </row>
    <row r="79" spans="1:12" x14ac:dyDescent="0.25">
      <c r="A79" s="17"/>
      <c r="B79" s="143"/>
      <c r="C79" s="144"/>
      <c r="D79" s="158"/>
      <c r="E79" s="43"/>
      <c r="F79" s="159"/>
      <c r="G79" s="160"/>
      <c r="H79" s="160"/>
      <c r="I79" s="160"/>
      <c r="J79" s="160"/>
      <c r="K79" s="161"/>
      <c r="L79" s="17"/>
    </row>
    <row r="80" spans="1:12" ht="16.5" thickBot="1" x14ac:dyDescent="0.3">
      <c r="A80" s="26"/>
      <c r="B80" s="149"/>
      <c r="C80" s="150"/>
      <c r="D80" s="169"/>
      <c r="E80" s="45"/>
      <c r="F80" s="170"/>
      <c r="G80" s="171"/>
      <c r="H80" s="171"/>
      <c r="I80" s="171"/>
      <c r="J80" s="171"/>
      <c r="K80" s="172"/>
      <c r="L80" s="26"/>
    </row>
    <row r="81" spans="1:11" x14ac:dyDescent="0.25">
      <c r="A81" s="68"/>
      <c r="B81" s="69"/>
      <c r="C81" s="46"/>
      <c r="D81" s="46"/>
      <c r="F81" s="47"/>
      <c r="G81" s="47"/>
      <c r="H81" s="47"/>
      <c r="I81" s="47"/>
      <c r="J81" s="47"/>
      <c r="K81" s="47"/>
    </row>
    <row r="82" spans="1:11" x14ac:dyDescent="0.25">
      <c r="B82" s="176" t="s">
        <v>464</v>
      </c>
      <c r="C82" s="176"/>
      <c r="D82" s="176"/>
      <c r="E82" s="6">
        <f>SUM(E38:E46)</f>
        <v>1833.02</v>
      </c>
      <c r="F82" s="6"/>
      <c r="G82" s="6"/>
      <c r="H82" s="6"/>
      <c r="I82" s="6"/>
      <c r="J82" s="6"/>
      <c r="K82" s="6"/>
    </row>
    <row r="83" spans="1:11" x14ac:dyDescent="0.25">
      <c r="B83" s="176" t="s">
        <v>465</v>
      </c>
      <c r="C83" s="176"/>
      <c r="D83" s="176"/>
      <c r="E83" s="6">
        <f>SUM(E20:E36)</f>
        <v>4181.72</v>
      </c>
    </row>
    <row r="84" spans="1:11" x14ac:dyDescent="0.25">
      <c r="B84" s="176" t="s">
        <v>466</v>
      </c>
      <c r="C84" s="176"/>
      <c r="D84" s="176"/>
      <c r="E84" s="6">
        <f>SUM(E48:E56)</f>
        <v>0</v>
      </c>
    </row>
    <row r="89" spans="1:11" ht="18.75" x14ac:dyDescent="0.3">
      <c r="B89" s="48"/>
    </row>
  </sheetData>
  <mergeCells count="143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29:D29"/>
    <mergeCell ref="H29:K29"/>
    <mergeCell ref="B30:D30"/>
    <mergeCell ref="H30:K30"/>
    <mergeCell ref="B31:D31"/>
    <mergeCell ref="H31:K31"/>
    <mergeCell ref="B27:D27"/>
    <mergeCell ref="H27:K27"/>
    <mergeCell ref="B28:D28"/>
    <mergeCell ref="H28:K28"/>
    <mergeCell ref="B35:D35"/>
    <mergeCell ref="H35:K35"/>
    <mergeCell ref="B36:D36"/>
    <mergeCell ref="H36:K36"/>
    <mergeCell ref="B37:D37"/>
    <mergeCell ref="F37:K37"/>
    <mergeCell ref="B32:D32"/>
    <mergeCell ref="H32:K32"/>
    <mergeCell ref="B33:D33"/>
    <mergeCell ref="H33:K33"/>
    <mergeCell ref="B34:D34"/>
    <mergeCell ref="H34:K34"/>
    <mergeCell ref="B41:D41"/>
    <mergeCell ref="F41:K41"/>
    <mergeCell ref="B42:D42"/>
    <mergeCell ref="F42:K42"/>
    <mergeCell ref="B43:D43"/>
    <mergeCell ref="F43:K43"/>
    <mergeCell ref="B38:D38"/>
    <mergeCell ref="F38:K38"/>
    <mergeCell ref="B39:D39"/>
    <mergeCell ref="F39:K39"/>
    <mergeCell ref="B40:D40"/>
    <mergeCell ref="F40:K40"/>
    <mergeCell ref="B47:D47"/>
    <mergeCell ref="F47:K47"/>
    <mergeCell ref="B48:D48"/>
    <mergeCell ref="F48:K48"/>
    <mergeCell ref="B49:D49"/>
    <mergeCell ref="F49:K49"/>
    <mergeCell ref="B44:D44"/>
    <mergeCell ref="F44:K44"/>
    <mergeCell ref="B45:D45"/>
    <mergeCell ref="F45:K45"/>
    <mergeCell ref="B46:D46"/>
    <mergeCell ref="F46:K46"/>
    <mergeCell ref="B53:D53"/>
    <mergeCell ref="F53:K53"/>
    <mergeCell ref="B54:D54"/>
    <mergeCell ref="F54:K54"/>
    <mergeCell ref="B55:D55"/>
    <mergeCell ref="F55:K55"/>
    <mergeCell ref="B50:D50"/>
    <mergeCell ref="F50:K50"/>
    <mergeCell ref="B51:D51"/>
    <mergeCell ref="F51:K51"/>
    <mergeCell ref="B52:D52"/>
    <mergeCell ref="F52:K52"/>
    <mergeCell ref="B59:D59"/>
    <mergeCell ref="F59:K59"/>
    <mergeCell ref="B60:D60"/>
    <mergeCell ref="F60:K60"/>
    <mergeCell ref="B61:D61"/>
    <mergeCell ref="F61:K61"/>
    <mergeCell ref="B56:D56"/>
    <mergeCell ref="F56:K56"/>
    <mergeCell ref="B57:D57"/>
    <mergeCell ref="F57:K57"/>
    <mergeCell ref="B58:D58"/>
    <mergeCell ref="F58:K58"/>
    <mergeCell ref="B65:D65"/>
    <mergeCell ref="F65:K65"/>
    <mergeCell ref="B66:D66"/>
    <mergeCell ref="F66:K66"/>
    <mergeCell ref="B67:D67"/>
    <mergeCell ref="F67:K67"/>
    <mergeCell ref="B62:D62"/>
    <mergeCell ref="F62:K62"/>
    <mergeCell ref="B63:D63"/>
    <mergeCell ref="F63:K63"/>
    <mergeCell ref="B64:D64"/>
    <mergeCell ref="F64:K64"/>
    <mergeCell ref="B71:D71"/>
    <mergeCell ref="F71:K71"/>
    <mergeCell ref="B72:D72"/>
    <mergeCell ref="F72:K72"/>
    <mergeCell ref="B73:D73"/>
    <mergeCell ref="F73:K73"/>
    <mergeCell ref="B68:D68"/>
    <mergeCell ref="F68:K68"/>
    <mergeCell ref="B69:D69"/>
    <mergeCell ref="F69:K69"/>
    <mergeCell ref="B70:D70"/>
    <mergeCell ref="F70:K70"/>
    <mergeCell ref="B80:D80"/>
    <mergeCell ref="F80:K80"/>
    <mergeCell ref="B82:D82"/>
    <mergeCell ref="B83:D83"/>
    <mergeCell ref="B84:D84"/>
    <mergeCell ref="B77:D77"/>
    <mergeCell ref="F77:K77"/>
    <mergeCell ref="B78:D78"/>
    <mergeCell ref="F78:K78"/>
    <mergeCell ref="B79:D79"/>
    <mergeCell ref="F79:K79"/>
  </mergeCells>
  <conditionalFormatting sqref="A18:A19 B19:H36 L19:XFD36">
    <cfRule type="cellIs" dxfId="648" priority="1" stopIfTrue="1" operator="equal">
      <formula>"OK"</formula>
    </cfRule>
  </conditionalFormatting>
  <conditionalFormatting sqref="A87:XFD1048576">
    <cfRule type="cellIs" dxfId="647" priority="13" stopIfTrue="1" operator="equal">
      <formula>"OK"</formula>
    </cfRule>
  </conditionalFormatting>
  <conditionalFormatting sqref="B48:B51 B20:H36">
    <cfRule type="expression" dxfId="646" priority="20">
      <formula>$J20="ancien paiement"</formula>
    </cfRule>
  </conditionalFormatting>
  <conditionalFormatting sqref="B59:B61 E59:F61 B66:D66 E66:F67 B67 B68:K68 B69 E69:F69 B70:K80">
    <cfRule type="expression" dxfId="645" priority="19">
      <formula>$F59="ancien paiement"</formula>
    </cfRule>
    <cfRule type="expression" dxfId="644" priority="21">
      <formula>$J59="ancien paiement"</formula>
    </cfRule>
  </conditionalFormatting>
  <conditionalFormatting sqref="B59:B61 E59:F61 B66:D66 E66:F67 B67 B68:XFD68 B69 E69:F69 B70:XFD86 B37:XFD46 B62:XFD65 B57:XFD58 B1:J1 M1:XFD1 A2:XFD2 E3 G3:I3 M3:XFD3 B3:D6 K4 P4:XFD7 K5:L7 B7:I7 B8:D8 F8 I8 M8:XFD8 L9:XFD16 A17:XFD17 M18:XFD18 M47:XFD56 L59:XFD61 L66:XFD67 L69:XFD69">
    <cfRule type="cellIs" dxfId="643" priority="22" stopIfTrue="1" operator="equal">
      <formula>"OK"</formula>
    </cfRule>
  </conditionalFormatting>
  <conditionalFormatting sqref="B9:I16">
    <cfRule type="cellIs" dxfId="642" priority="11" stopIfTrue="1" operator="equal">
      <formula>"OK"</formula>
    </cfRule>
  </conditionalFormatting>
  <conditionalFormatting sqref="B38:K38">
    <cfRule type="expression" dxfId="641" priority="18">
      <formula>$J38="ancien paiement"</formula>
    </cfRule>
  </conditionalFormatting>
  <conditionalFormatting sqref="B38:K47 B48:B51">
    <cfRule type="expression" dxfId="640" priority="5">
      <formula>$F38="ancien paiement"</formula>
    </cfRule>
  </conditionalFormatting>
  <conditionalFormatting sqref="B40:K47">
    <cfRule type="expression" dxfId="639" priority="6">
      <formula>$J40="ancien paiement"</formula>
    </cfRule>
  </conditionalFormatting>
  <conditionalFormatting sqref="B53:K58">
    <cfRule type="expression" dxfId="638" priority="7">
      <formula>$F53="ancien paiement"</formula>
    </cfRule>
    <cfRule type="expression" dxfId="637" priority="8">
      <formula>$J53="ancien paiement"</formula>
    </cfRule>
  </conditionalFormatting>
  <conditionalFormatting sqref="B62:K63">
    <cfRule type="expression" dxfId="636" priority="16">
      <formula>$F62="ancien paiement"</formula>
    </cfRule>
    <cfRule type="expression" dxfId="635" priority="17">
      <formula>$J62="ancien paiement"</formula>
    </cfRule>
  </conditionalFormatting>
  <conditionalFormatting sqref="B65:K65">
    <cfRule type="expression" dxfId="634" priority="14">
      <formula>$F65="ancien paiement"</formula>
    </cfRule>
    <cfRule type="expression" dxfId="633" priority="15">
      <formula>$J65="ancien paiement"</formula>
    </cfRule>
  </conditionalFormatting>
  <conditionalFormatting sqref="B50:L56 B47:L48 B49:D49">
    <cfRule type="cellIs" dxfId="632" priority="9" stopIfTrue="1" operator="equal">
      <formula>"OK"</formula>
    </cfRule>
  </conditionalFormatting>
  <conditionalFormatting sqref="E48">
    <cfRule type="expression" dxfId="631" priority="10">
      <formula>#REF!="ancien paiement"</formula>
    </cfRule>
  </conditionalFormatting>
  <conditionalFormatting sqref="E48:F51">
    <cfRule type="expression" dxfId="630" priority="2">
      <formula>$F48="ancien paiement"</formula>
    </cfRule>
    <cfRule type="expression" dxfId="629" priority="3">
      <formula>$J48="ancien paiement"</formula>
    </cfRule>
  </conditionalFormatting>
  <conditionalFormatting sqref="E4:I6">
    <cfRule type="cellIs" dxfId="628" priority="12" stopIfTrue="1" operator="equal">
      <formula>"OK"</formula>
    </cfRule>
  </conditionalFormatting>
  <conditionalFormatting sqref="E49:L49">
    <cfRule type="cellIs" dxfId="627" priority="4" stopIfTrue="1" operator="equal">
      <formula>"OK"</formula>
    </cfRule>
  </conditionalFormatting>
  <pageMargins left="0.7" right="0.7" top="0.75" bottom="0.75" header="0.3" footer="0.3"/>
  <pageSetup paperSize="9" scale="48" orientation="portrait" copies="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113"/>
  <sheetViews>
    <sheetView topLeftCell="A31" workbookViewId="0">
      <selection activeCell="F64" sqref="F64:K64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46114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499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7170</v>
      </c>
      <c r="G4" s="1" t="s">
        <v>500</v>
      </c>
      <c r="I4" s="112" t="s">
        <v>3</v>
      </c>
      <c r="J4" s="113"/>
      <c r="K4" s="114">
        <f>E106+C14</f>
        <v>7173.88</v>
      </c>
      <c r="L4" s="115"/>
      <c r="N4" s="6"/>
    </row>
    <row r="5" spans="2:14" ht="16.5" thickBot="1" x14ac:dyDescent="0.3">
      <c r="E5" s="7" t="s">
        <v>4</v>
      </c>
      <c r="F5" s="8">
        <v>9424.09</v>
      </c>
      <c r="G5" s="1" t="s">
        <v>501</v>
      </c>
      <c r="I5" s="95" t="s">
        <v>5</v>
      </c>
      <c r="J5" s="96"/>
      <c r="K5" s="97">
        <f>E15+E107</f>
        <v>9424.09</v>
      </c>
      <c r="L5" s="98"/>
      <c r="N5" s="6"/>
    </row>
    <row r="6" spans="2:14" ht="16.5" thickBot="1" x14ac:dyDescent="0.3">
      <c r="E6" s="9" t="s">
        <v>445</v>
      </c>
      <c r="F6" s="85">
        <v>3.88</v>
      </c>
      <c r="I6" s="95" t="s">
        <v>446</v>
      </c>
      <c r="J6" s="96"/>
      <c r="K6" s="97">
        <f>G15+E108</f>
        <v>41292.76</v>
      </c>
      <c r="L6" s="98"/>
    </row>
    <row r="7" spans="2:14" ht="16.5" thickBot="1" x14ac:dyDescent="0.3">
      <c r="I7" s="99" t="s">
        <v>6</v>
      </c>
      <c r="J7" s="100"/>
      <c r="K7" s="101">
        <f>SUM(E74:E79)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3300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1500</v>
      </c>
      <c r="D10" s="19" t="s">
        <v>502</v>
      </c>
      <c r="E10" s="49">
        <v>391.29</v>
      </c>
      <c r="F10" s="20" t="s">
        <v>9</v>
      </c>
      <c r="G10" s="21">
        <v>24011.5</v>
      </c>
      <c r="H10" s="6"/>
      <c r="I10" s="180" t="s">
        <v>68</v>
      </c>
      <c r="J10" s="181"/>
      <c r="K10" s="182"/>
      <c r="L10" s="80">
        <v>150</v>
      </c>
    </row>
    <row r="11" spans="2:14" ht="21.6" customHeight="1" x14ac:dyDescent="0.25">
      <c r="B11" s="17" t="s">
        <v>453</v>
      </c>
      <c r="C11" s="18">
        <v>690</v>
      </c>
      <c r="D11" s="22" t="s">
        <v>503</v>
      </c>
      <c r="E11" s="50">
        <v>1339.14</v>
      </c>
      <c r="F11" s="23" t="s">
        <v>454</v>
      </c>
      <c r="G11" s="24"/>
      <c r="H11" s="6"/>
      <c r="I11" s="183" t="s">
        <v>81</v>
      </c>
      <c r="J11" s="184"/>
      <c r="K11" s="185"/>
      <c r="L11" s="80">
        <v>80</v>
      </c>
    </row>
    <row r="12" spans="2:14" ht="21.6" customHeight="1" x14ac:dyDescent="0.25">
      <c r="B12" s="17" t="s">
        <v>455</v>
      </c>
      <c r="C12" s="18">
        <v>140</v>
      </c>
      <c r="D12" s="22" t="s">
        <v>504</v>
      </c>
      <c r="E12" s="50">
        <v>283.35000000000002</v>
      </c>
      <c r="F12" s="23"/>
      <c r="G12" s="24"/>
      <c r="H12" s="6"/>
      <c r="I12" s="183" t="s">
        <v>96</v>
      </c>
      <c r="J12" s="184"/>
      <c r="K12" s="185"/>
      <c r="L12" s="84">
        <v>40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83" t="s">
        <v>119</v>
      </c>
      <c r="J13" s="184"/>
      <c r="K13" s="185"/>
      <c r="L13" s="84">
        <v>80</v>
      </c>
    </row>
    <row r="14" spans="2:14" ht="23.85" customHeight="1" x14ac:dyDescent="0.25">
      <c r="B14" s="25" t="s">
        <v>11</v>
      </c>
      <c r="C14" s="18">
        <f>SUM(C9:C13)</f>
        <v>5630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536</v>
      </c>
      <c r="D15" s="28" t="s">
        <v>11</v>
      </c>
      <c r="E15" s="29">
        <f>SUM(E10:E14)</f>
        <v>2013.7800000000002</v>
      </c>
      <c r="F15" s="30" t="s">
        <v>11</v>
      </c>
      <c r="G15" s="31">
        <f>SUM(G10:G14)</f>
        <v>24011.5</v>
      </c>
      <c r="H15" s="6"/>
      <c r="I15" s="116" t="s">
        <v>457</v>
      </c>
      <c r="J15" s="117"/>
      <c r="K15" s="118"/>
      <c r="L15" s="32">
        <f>C15-'1'!C15</f>
        <v>-177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-173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74</v>
      </c>
      <c r="B20" s="128" t="s">
        <v>505</v>
      </c>
      <c r="C20" s="129"/>
      <c r="D20" s="130"/>
      <c r="E20" s="20">
        <v>373.97</v>
      </c>
      <c r="F20" s="12" t="s">
        <v>75</v>
      </c>
      <c r="G20" s="51">
        <v>3840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78</v>
      </c>
      <c r="B21" s="143" t="s">
        <v>506</v>
      </c>
      <c r="C21" s="144"/>
      <c r="D21" s="145"/>
      <c r="E21" s="20">
        <v>1003.9</v>
      </c>
      <c r="F21" s="23" t="s">
        <v>44</v>
      </c>
      <c r="G21" s="52">
        <v>2089630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82</v>
      </c>
      <c r="B22" s="143" t="s">
        <v>507</v>
      </c>
      <c r="C22" s="144"/>
      <c r="D22" s="145"/>
      <c r="E22" s="20">
        <v>338.35</v>
      </c>
      <c r="F22" s="23" t="s">
        <v>44</v>
      </c>
      <c r="G22" s="52">
        <v>9334211</v>
      </c>
      <c r="H22" s="146"/>
      <c r="I22" s="147"/>
      <c r="J22" s="147"/>
      <c r="K22" s="148"/>
      <c r="L22" s="23" t="s">
        <v>71</v>
      </c>
    </row>
    <row r="23" spans="1:12" x14ac:dyDescent="0.25">
      <c r="A23" s="66" t="s">
        <v>87</v>
      </c>
      <c r="B23" s="143" t="s">
        <v>508</v>
      </c>
      <c r="C23" s="144"/>
      <c r="D23" s="145"/>
      <c r="E23" s="20">
        <v>505.37</v>
      </c>
      <c r="F23" s="23" t="s">
        <v>88</v>
      </c>
      <c r="G23" s="52">
        <v>7010120</v>
      </c>
      <c r="H23" s="146"/>
      <c r="I23" s="147"/>
      <c r="J23" s="147"/>
      <c r="K23" s="148"/>
      <c r="L23" s="23" t="s">
        <v>71</v>
      </c>
    </row>
    <row r="24" spans="1:12" x14ac:dyDescent="0.25">
      <c r="A24" s="66" t="s">
        <v>90</v>
      </c>
      <c r="B24" s="143" t="s">
        <v>509</v>
      </c>
      <c r="C24" s="144"/>
      <c r="D24" s="145"/>
      <c r="E24" s="20">
        <v>612.92999999999995</v>
      </c>
      <c r="F24" s="23" t="s">
        <v>75</v>
      </c>
      <c r="G24" s="52">
        <v>297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94</v>
      </c>
      <c r="B25" s="143" t="s">
        <v>510</v>
      </c>
      <c r="C25" s="144"/>
      <c r="D25" s="145"/>
      <c r="E25" s="20">
        <v>239.25</v>
      </c>
      <c r="F25" s="23" t="s">
        <v>95</v>
      </c>
      <c r="G25" s="52">
        <v>5467728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97</v>
      </c>
      <c r="B26" s="143" t="s">
        <v>961</v>
      </c>
      <c r="C26" s="144"/>
      <c r="D26" s="145"/>
      <c r="E26" s="20">
        <v>2339.63</v>
      </c>
      <c r="F26" s="23" t="s">
        <v>44</v>
      </c>
      <c r="G26" s="52">
        <v>3193128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101</v>
      </c>
      <c r="B27" s="143" t="s">
        <v>511</v>
      </c>
      <c r="C27" s="144"/>
      <c r="D27" s="145"/>
      <c r="E27" s="20">
        <v>410.47</v>
      </c>
      <c r="F27" s="23" t="s">
        <v>75</v>
      </c>
      <c r="G27" s="52">
        <v>17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102</v>
      </c>
      <c r="B28" s="143" t="s">
        <v>512</v>
      </c>
      <c r="C28" s="144"/>
      <c r="D28" s="145"/>
      <c r="E28" s="20">
        <v>365.31</v>
      </c>
      <c r="F28" s="23" t="s">
        <v>62</v>
      </c>
      <c r="G28" s="52">
        <v>251</v>
      </c>
      <c r="H28" s="146"/>
      <c r="I28" s="147"/>
      <c r="J28" s="147"/>
      <c r="K28" s="148"/>
      <c r="L28" s="23" t="s">
        <v>33</v>
      </c>
    </row>
    <row r="29" spans="1:12" x14ac:dyDescent="0.25">
      <c r="A29" s="66" t="s">
        <v>110</v>
      </c>
      <c r="B29" s="143" t="s">
        <v>109</v>
      </c>
      <c r="C29" s="144"/>
      <c r="D29" s="145"/>
      <c r="E29" s="20">
        <v>489.13</v>
      </c>
      <c r="F29" s="23" t="s">
        <v>75</v>
      </c>
      <c r="G29" s="52">
        <v>153</v>
      </c>
      <c r="H29" s="146"/>
      <c r="I29" s="147"/>
      <c r="J29" s="147"/>
      <c r="K29" s="148"/>
      <c r="L29" s="23" t="s">
        <v>33</v>
      </c>
    </row>
    <row r="30" spans="1:12" x14ac:dyDescent="0.25">
      <c r="A30" s="66" t="s">
        <v>120</v>
      </c>
      <c r="B30" s="143" t="s">
        <v>513</v>
      </c>
      <c r="C30" s="144"/>
      <c r="D30" s="145"/>
      <c r="E30" s="20">
        <v>282.64999999999998</v>
      </c>
      <c r="F30" s="23" t="s">
        <v>88</v>
      </c>
      <c r="G30" s="52">
        <v>878366</v>
      </c>
      <c r="H30" s="146"/>
      <c r="I30" s="147"/>
      <c r="J30" s="147"/>
      <c r="K30" s="148"/>
      <c r="L30" s="23" t="s">
        <v>71</v>
      </c>
    </row>
    <row r="31" spans="1:12" x14ac:dyDescent="0.25">
      <c r="A31" s="66" t="s">
        <v>125</v>
      </c>
      <c r="B31" s="143" t="s">
        <v>514</v>
      </c>
      <c r="C31" s="144"/>
      <c r="D31" s="145"/>
      <c r="E31" s="20">
        <v>449.35</v>
      </c>
      <c r="F31" s="23" t="s">
        <v>88</v>
      </c>
      <c r="G31" s="52">
        <v>1681098</v>
      </c>
      <c r="H31" s="146"/>
      <c r="I31" s="147"/>
      <c r="J31" s="147"/>
      <c r="K31" s="148"/>
      <c r="L31" s="23" t="s">
        <v>33</v>
      </c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86</v>
      </c>
      <c r="B39" s="128" t="s">
        <v>482</v>
      </c>
      <c r="C39" s="129"/>
      <c r="D39" s="162"/>
      <c r="E39" s="41">
        <v>955.13</v>
      </c>
      <c r="F39" s="163"/>
      <c r="G39" s="164"/>
      <c r="H39" s="164"/>
      <c r="I39" s="164"/>
      <c r="J39" s="164"/>
      <c r="K39" s="165"/>
      <c r="L39" s="42" t="s">
        <v>71</v>
      </c>
    </row>
    <row r="40" spans="1:12" x14ac:dyDescent="0.25">
      <c r="A40" s="66" t="s">
        <v>89</v>
      </c>
      <c r="B40" s="143" t="s">
        <v>515</v>
      </c>
      <c r="C40" s="144"/>
      <c r="D40" s="158"/>
      <c r="E40" s="43">
        <v>328.18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106</v>
      </c>
      <c r="B41" s="143" t="s">
        <v>105</v>
      </c>
      <c r="C41" s="144"/>
      <c r="D41" s="158"/>
      <c r="E41" s="43">
        <v>260.57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70</v>
      </c>
      <c r="B49" s="143" t="s">
        <v>69</v>
      </c>
      <c r="C49" s="144"/>
      <c r="D49" s="158"/>
      <c r="E49" s="43">
        <v>4233.82</v>
      </c>
      <c r="F49" s="159" t="s">
        <v>516</v>
      </c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 t="s">
        <v>112</v>
      </c>
      <c r="B50" s="74"/>
      <c r="C50" s="75" t="s">
        <v>111</v>
      </c>
      <c r="D50" s="76"/>
      <c r="E50" s="43">
        <v>3072.96</v>
      </c>
      <c r="F50" s="77"/>
      <c r="G50" s="78"/>
      <c r="H50" s="78"/>
      <c r="I50" s="78"/>
      <c r="J50" s="78"/>
      <c r="K50" s="79"/>
      <c r="L50" s="20" t="s">
        <v>71</v>
      </c>
    </row>
    <row r="51" spans="1:12" x14ac:dyDescent="0.25">
      <c r="A51" s="66" t="s">
        <v>114</v>
      </c>
      <c r="B51" s="74"/>
      <c r="C51" s="75" t="s">
        <v>113</v>
      </c>
      <c r="D51" s="76"/>
      <c r="E51" s="43">
        <v>2865.97</v>
      </c>
      <c r="F51" s="77"/>
      <c r="G51" s="78"/>
      <c r="H51" s="78"/>
      <c r="I51" s="78"/>
      <c r="J51" s="78"/>
      <c r="K51" s="79"/>
      <c r="L51" s="20" t="s">
        <v>71</v>
      </c>
    </row>
    <row r="52" spans="1:12" x14ac:dyDescent="0.25">
      <c r="A52" s="66" t="s">
        <v>115</v>
      </c>
      <c r="B52" s="74"/>
      <c r="C52" s="75" t="s">
        <v>517</v>
      </c>
      <c r="D52" s="76"/>
      <c r="E52" s="43">
        <v>1290.22</v>
      </c>
      <c r="F52" s="77"/>
      <c r="G52" s="78"/>
      <c r="H52" s="78"/>
      <c r="I52" s="78"/>
      <c r="J52" s="78"/>
      <c r="K52" s="79"/>
      <c r="L52" s="20" t="s">
        <v>71</v>
      </c>
    </row>
    <row r="53" spans="1:12" x14ac:dyDescent="0.25">
      <c r="A53" s="66" t="s">
        <v>116</v>
      </c>
      <c r="B53" s="74"/>
      <c r="C53" s="75" t="s">
        <v>518</v>
      </c>
      <c r="D53" s="76"/>
      <c r="E53" s="43">
        <v>1381.31</v>
      </c>
      <c r="F53" s="77"/>
      <c r="G53" s="78"/>
      <c r="H53" s="78"/>
      <c r="I53" s="78"/>
      <c r="J53" s="78"/>
      <c r="K53" s="79"/>
      <c r="L53" s="20" t="s">
        <v>71</v>
      </c>
    </row>
    <row r="54" spans="1:12" x14ac:dyDescent="0.25">
      <c r="A54" s="66" t="s">
        <v>117</v>
      </c>
      <c r="B54" s="74"/>
      <c r="C54" s="75" t="s">
        <v>519</v>
      </c>
      <c r="D54" s="76"/>
      <c r="E54" s="43">
        <v>540.66999999999996</v>
      </c>
      <c r="F54" s="77"/>
      <c r="G54" s="78"/>
      <c r="H54" s="78"/>
      <c r="I54" s="78"/>
      <c r="J54" s="78"/>
      <c r="K54" s="79"/>
      <c r="L54" s="20" t="s">
        <v>71</v>
      </c>
    </row>
    <row r="55" spans="1:12" x14ac:dyDescent="0.25">
      <c r="A55" s="66" t="s">
        <v>117</v>
      </c>
      <c r="B55" s="143" t="s">
        <v>519</v>
      </c>
      <c r="C55" s="144"/>
      <c r="D55" s="158"/>
      <c r="E55" s="43">
        <v>540.21</v>
      </c>
      <c r="F55" s="159"/>
      <c r="G55" s="160"/>
      <c r="H55" s="160"/>
      <c r="I55" s="160"/>
      <c r="J55" s="160"/>
      <c r="K55" s="161"/>
      <c r="L55" s="20" t="s">
        <v>71</v>
      </c>
    </row>
    <row r="56" spans="1:12" x14ac:dyDescent="0.25">
      <c r="A56" s="66" t="s">
        <v>117</v>
      </c>
      <c r="B56" s="74"/>
      <c r="C56" s="75" t="s">
        <v>519</v>
      </c>
      <c r="D56" s="76"/>
      <c r="E56" s="43">
        <v>650.29</v>
      </c>
      <c r="F56" s="77"/>
      <c r="G56" s="78"/>
      <c r="H56" s="78"/>
      <c r="I56" s="78"/>
      <c r="J56" s="78"/>
      <c r="K56" s="79"/>
      <c r="L56" s="20" t="s">
        <v>71</v>
      </c>
    </row>
    <row r="57" spans="1:12" x14ac:dyDescent="0.25">
      <c r="A57" s="66" t="s">
        <v>118</v>
      </c>
      <c r="B57" s="74"/>
      <c r="C57" s="75" t="s">
        <v>520</v>
      </c>
      <c r="D57" s="76"/>
      <c r="E57" s="43">
        <v>2705.81</v>
      </c>
      <c r="F57" s="77"/>
      <c r="G57" s="78"/>
      <c r="H57" s="78"/>
      <c r="I57" s="78"/>
      <c r="J57" s="78"/>
      <c r="K57" s="79"/>
      <c r="L57" s="20" t="s">
        <v>71</v>
      </c>
    </row>
    <row r="58" spans="1:12" x14ac:dyDescent="0.25">
      <c r="A58" s="66"/>
      <c r="B58" s="74"/>
      <c r="C58" s="75"/>
      <c r="D58" s="76"/>
      <c r="E58" s="43"/>
      <c r="F58" s="77"/>
      <c r="G58" s="78"/>
      <c r="H58" s="78"/>
      <c r="I58" s="78"/>
      <c r="J58" s="78"/>
      <c r="K58" s="79"/>
      <c r="L58" s="20"/>
    </row>
    <row r="59" spans="1:12" x14ac:dyDescent="0.25">
      <c r="A59" s="66"/>
      <c r="B59" s="74"/>
      <c r="C59" s="75"/>
      <c r="D59" s="76"/>
      <c r="E59" s="43"/>
      <c r="F59" s="77"/>
      <c r="G59" s="78"/>
      <c r="H59" s="78"/>
      <c r="I59" s="78"/>
      <c r="J59" s="78"/>
      <c r="K59" s="79"/>
      <c r="L59" s="20"/>
    </row>
    <row r="60" spans="1:12" x14ac:dyDescent="0.25">
      <c r="A60" s="66"/>
      <c r="B60" s="74"/>
      <c r="C60" s="75"/>
      <c r="D60" s="76"/>
      <c r="E60" s="43"/>
      <c r="F60" s="77"/>
      <c r="G60" s="78"/>
      <c r="H60" s="78"/>
      <c r="I60" s="78"/>
      <c r="J60" s="78"/>
      <c r="K60" s="79"/>
      <c r="L60" s="20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20"/>
    </row>
    <row r="62" spans="1:12" ht="16.5" thickBot="1" x14ac:dyDescent="0.3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20"/>
    </row>
    <row r="63" spans="1:12" ht="16.5" thickBot="1" x14ac:dyDescent="0.3">
      <c r="A63" s="71" t="s">
        <v>458</v>
      </c>
      <c r="B63" s="166" t="s">
        <v>462</v>
      </c>
      <c r="C63" s="167"/>
      <c r="D63" s="168"/>
      <c r="E63" s="36" t="s">
        <v>8</v>
      </c>
      <c r="F63" s="119" t="s">
        <v>15</v>
      </c>
      <c r="G63" s="120"/>
      <c r="H63" s="120"/>
      <c r="I63" s="120"/>
      <c r="J63" s="120"/>
      <c r="K63" s="121"/>
      <c r="L63" s="39" t="s">
        <v>16</v>
      </c>
    </row>
    <row r="64" spans="1:12" x14ac:dyDescent="0.25">
      <c r="A64" s="66"/>
      <c r="B64" s="143" t="s">
        <v>521</v>
      </c>
      <c r="C64" s="144">
        <v>802.36</v>
      </c>
      <c r="D64" s="158" t="s">
        <v>18</v>
      </c>
      <c r="E64" s="43"/>
      <c r="F64" s="163">
        <v>3003.13</v>
      </c>
      <c r="G64" s="164"/>
      <c r="H64" s="164"/>
      <c r="I64" s="164"/>
      <c r="J64" s="164"/>
      <c r="K64" s="165"/>
      <c r="L64" s="20" t="s">
        <v>71</v>
      </c>
    </row>
    <row r="65" spans="1:12" x14ac:dyDescent="0.25">
      <c r="A65" s="66"/>
      <c r="B65" s="74"/>
      <c r="C65" s="75"/>
      <c r="D65" s="76"/>
      <c r="E65" s="43"/>
      <c r="F65" s="81"/>
      <c r="G65" s="82"/>
      <c r="H65" s="82"/>
      <c r="I65" s="82"/>
      <c r="J65" s="82"/>
      <c r="K65" s="83"/>
      <c r="L65" s="20"/>
    </row>
    <row r="66" spans="1:12" x14ac:dyDescent="0.25">
      <c r="A66" s="66"/>
      <c r="B66" s="74"/>
      <c r="C66" s="75"/>
      <c r="D66" s="76"/>
      <c r="E66" s="43"/>
      <c r="F66" s="81"/>
      <c r="G66" s="82"/>
      <c r="H66" s="82"/>
      <c r="I66" s="82"/>
      <c r="J66" s="82"/>
      <c r="K66" s="83"/>
      <c r="L66" s="20"/>
    </row>
    <row r="67" spans="1:12" x14ac:dyDescent="0.25">
      <c r="A67" s="66"/>
      <c r="B67" s="74"/>
      <c r="C67" s="75"/>
      <c r="D67" s="76"/>
      <c r="E67" s="43"/>
      <c r="F67" s="81"/>
      <c r="G67" s="82"/>
      <c r="H67" s="82"/>
      <c r="I67" s="82"/>
      <c r="J67" s="82"/>
      <c r="K67" s="83"/>
      <c r="L67" s="20"/>
    </row>
    <row r="68" spans="1:12" x14ac:dyDescent="0.25">
      <c r="A68" s="66"/>
      <c r="B68" s="74"/>
      <c r="C68" s="75"/>
      <c r="D68" s="76"/>
      <c r="E68" s="43"/>
      <c r="F68" s="81"/>
      <c r="G68" s="82"/>
      <c r="H68" s="82"/>
      <c r="I68" s="82"/>
      <c r="J68" s="82"/>
      <c r="K68" s="83"/>
      <c r="L68" s="20"/>
    </row>
    <row r="69" spans="1:12" x14ac:dyDescent="0.25">
      <c r="A69" s="66"/>
      <c r="B69" s="74"/>
      <c r="C69" s="75"/>
      <c r="D69" s="76"/>
      <c r="E69" s="43"/>
      <c r="F69" s="81"/>
      <c r="G69" s="82"/>
      <c r="H69" s="82"/>
      <c r="I69" s="82"/>
      <c r="J69" s="82"/>
      <c r="K69" s="83"/>
      <c r="L69" s="20"/>
    </row>
    <row r="70" spans="1:12" x14ac:dyDescent="0.25">
      <c r="A70" s="66"/>
      <c r="B70" s="143"/>
      <c r="C70" s="144">
        <v>675.28</v>
      </c>
      <c r="D70" s="158" t="s">
        <v>19</v>
      </c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66"/>
      <c r="B71" s="143"/>
      <c r="C71" s="144">
        <v>689.72</v>
      </c>
      <c r="D71" s="158" t="s">
        <v>19</v>
      </c>
      <c r="E71" s="43"/>
      <c r="F71" s="159"/>
      <c r="G71" s="160"/>
      <c r="H71" s="160"/>
      <c r="I71" s="160"/>
      <c r="J71" s="160"/>
      <c r="K71" s="161"/>
      <c r="L71" s="23"/>
    </row>
    <row r="72" spans="1:12" ht="16.5" thickBot="1" x14ac:dyDescent="0.3">
      <c r="A72" s="66"/>
      <c r="B72" s="143"/>
      <c r="C72" s="144">
        <v>340.26</v>
      </c>
      <c r="D72" s="158" t="s">
        <v>20</v>
      </c>
      <c r="E72" s="43"/>
      <c r="F72" s="159"/>
      <c r="G72" s="160"/>
      <c r="H72" s="160"/>
      <c r="I72" s="160"/>
      <c r="J72" s="160"/>
      <c r="K72" s="161"/>
      <c r="L72" s="23"/>
    </row>
    <row r="73" spans="1:12" ht="16.5" thickBot="1" x14ac:dyDescent="0.3">
      <c r="A73" s="71" t="s">
        <v>458</v>
      </c>
      <c r="B73" s="166" t="s">
        <v>17</v>
      </c>
      <c r="C73" s="167"/>
      <c r="D73" s="168"/>
      <c r="E73" s="36" t="s">
        <v>8</v>
      </c>
      <c r="F73" s="119" t="s">
        <v>15</v>
      </c>
      <c r="G73" s="120"/>
      <c r="H73" s="120"/>
      <c r="I73" s="120"/>
      <c r="J73" s="120"/>
      <c r="K73" s="121"/>
      <c r="L73" s="39" t="s">
        <v>16</v>
      </c>
    </row>
    <row r="74" spans="1:12" x14ac:dyDescent="0.25">
      <c r="A74" s="66"/>
      <c r="B74" s="128"/>
      <c r="C74" s="129"/>
      <c r="D74" s="162"/>
      <c r="E74" s="43"/>
      <c r="F74" s="163"/>
      <c r="G74" s="164"/>
      <c r="H74" s="164"/>
      <c r="I74" s="164"/>
      <c r="J74" s="164"/>
      <c r="K74" s="165"/>
      <c r="L74" s="23"/>
    </row>
    <row r="75" spans="1:12" x14ac:dyDescent="0.25">
      <c r="A75" s="66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44"/>
    </row>
    <row r="76" spans="1:12" x14ac:dyDescent="0.25">
      <c r="A76" s="66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44"/>
    </row>
    <row r="77" spans="1:12" x14ac:dyDescent="0.25">
      <c r="A77" s="66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44"/>
    </row>
    <row r="78" spans="1:12" x14ac:dyDescent="0.25">
      <c r="A78" s="66"/>
      <c r="B78" s="143"/>
      <c r="C78" s="144"/>
      <c r="D78" s="158"/>
      <c r="E78" s="43"/>
      <c r="F78" s="159"/>
      <c r="G78" s="160"/>
      <c r="H78" s="160"/>
      <c r="I78" s="160"/>
      <c r="J78" s="160"/>
      <c r="K78" s="161"/>
      <c r="L78" s="44"/>
    </row>
    <row r="79" spans="1:12" ht="16.5" thickBot="1" x14ac:dyDescent="0.3">
      <c r="A79" s="67"/>
      <c r="B79" s="149"/>
      <c r="C79" s="150"/>
      <c r="D79" s="169"/>
      <c r="E79" s="43"/>
      <c r="F79" s="170"/>
      <c r="G79" s="171"/>
      <c r="H79" s="171"/>
      <c r="I79" s="171"/>
      <c r="J79" s="171"/>
      <c r="K79" s="172"/>
      <c r="L79" s="29"/>
    </row>
    <row r="80" spans="1:12" ht="16.5" thickBot="1" x14ac:dyDescent="0.3">
      <c r="A80" s="70" t="s">
        <v>458</v>
      </c>
      <c r="B80" s="173" t="s">
        <v>463</v>
      </c>
      <c r="C80" s="174"/>
      <c r="D80" s="175"/>
      <c r="E80" s="36" t="s">
        <v>8</v>
      </c>
      <c r="F80" s="119" t="s">
        <v>15</v>
      </c>
      <c r="G80" s="120"/>
      <c r="H80" s="120"/>
      <c r="I80" s="120"/>
      <c r="J80" s="120"/>
      <c r="K80" s="121"/>
      <c r="L80" s="39" t="s">
        <v>16</v>
      </c>
    </row>
    <row r="81" spans="1:12" ht="16.5" thickBot="1" x14ac:dyDescent="0.3">
      <c r="A81" s="17" t="s">
        <v>72</v>
      </c>
      <c r="B81" s="128" t="s">
        <v>522</v>
      </c>
      <c r="C81" s="129"/>
      <c r="D81" s="162"/>
      <c r="E81" s="43">
        <v>2006.45</v>
      </c>
      <c r="F81" s="163"/>
      <c r="G81" s="164"/>
      <c r="H81" s="164"/>
      <c r="I81" s="164"/>
      <c r="J81" s="164"/>
      <c r="K81" s="165"/>
      <c r="L81" s="23" t="s">
        <v>33</v>
      </c>
    </row>
    <row r="82" spans="1:12" x14ac:dyDescent="0.25">
      <c r="A82" s="17" t="s">
        <v>73</v>
      </c>
      <c r="B82" s="128" t="s">
        <v>523</v>
      </c>
      <c r="C82" s="129"/>
      <c r="D82" s="162"/>
      <c r="E82" s="43">
        <v>1220.69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17" t="s">
        <v>77</v>
      </c>
      <c r="B83" s="143" t="s">
        <v>76</v>
      </c>
      <c r="C83" s="144"/>
      <c r="D83" s="158"/>
      <c r="E83" s="43">
        <v>1885.71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17" t="s">
        <v>80</v>
      </c>
      <c r="B84" s="143" t="s">
        <v>79</v>
      </c>
      <c r="C84" s="144"/>
      <c r="D84" s="158"/>
      <c r="E84" s="43">
        <v>414.55</v>
      </c>
      <c r="F84" s="159"/>
      <c r="G84" s="160"/>
      <c r="H84" s="160"/>
      <c r="I84" s="160"/>
      <c r="J84" s="160"/>
      <c r="K84" s="161"/>
      <c r="L84" s="23" t="s">
        <v>33</v>
      </c>
    </row>
    <row r="85" spans="1:12" x14ac:dyDescent="0.25">
      <c r="A85" s="17" t="s">
        <v>83</v>
      </c>
      <c r="B85" s="143" t="s">
        <v>524</v>
      </c>
      <c r="C85" s="144"/>
      <c r="D85" s="158"/>
      <c r="E85" s="43">
        <v>2504.8000000000002</v>
      </c>
      <c r="F85" s="159"/>
      <c r="G85" s="160"/>
      <c r="H85" s="160"/>
      <c r="I85" s="160"/>
      <c r="J85" s="160"/>
      <c r="K85" s="161"/>
      <c r="L85" s="23" t="s">
        <v>71</v>
      </c>
    </row>
    <row r="86" spans="1:12" x14ac:dyDescent="0.25">
      <c r="A86" s="17" t="s">
        <v>85</v>
      </c>
      <c r="B86" s="143" t="s">
        <v>84</v>
      </c>
      <c r="C86" s="144"/>
      <c r="D86" s="158"/>
      <c r="E86" s="43">
        <v>306.37</v>
      </c>
      <c r="F86" s="159"/>
      <c r="G86" s="160"/>
      <c r="H86" s="160"/>
      <c r="I86" s="160"/>
      <c r="J86" s="160"/>
      <c r="K86" s="161"/>
      <c r="L86" s="23" t="s">
        <v>71</v>
      </c>
    </row>
    <row r="87" spans="1:12" x14ac:dyDescent="0.25">
      <c r="A87" s="17" t="s">
        <v>91</v>
      </c>
      <c r="B87" s="143" t="s">
        <v>525</v>
      </c>
      <c r="C87" s="144"/>
      <c r="D87" s="158"/>
      <c r="E87" s="43">
        <v>728.16</v>
      </c>
      <c r="F87" s="159"/>
      <c r="G87" s="160"/>
      <c r="H87" s="160"/>
      <c r="I87" s="160"/>
      <c r="J87" s="160"/>
      <c r="K87" s="161"/>
      <c r="L87" s="23" t="s">
        <v>33</v>
      </c>
    </row>
    <row r="88" spans="1:12" x14ac:dyDescent="0.25">
      <c r="A88" s="17" t="s">
        <v>92</v>
      </c>
      <c r="B88" s="143" t="s">
        <v>526</v>
      </c>
      <c r="C88" s="144"/>
      <c r="D88" s="158"/>
      <c r="E88" s="43">
        <v>721.94</v>
      </c>
      <c r="F88" s="159"/>
      <c r="G88" s="160"/>
      <c r="H88" s="160"/>
      <c r="I88" s="160"/>
      <c r="J88" s="160"/>
      <c r="K88" s="161"/>
      <c r="L88" s="23" t="s">
        <v>33</v>
      </c>
    </row>
    <row r="89" spans="1:12" x14ac:dyDescent="0.25">
      <c r="A89" s="17"/>
      <c r="B89" s="143" t="s">
        <v>527</v>
      </c>
      <c r="C89" s="144"/>
      <c r="D89" s="158"/>
      <c r="E89" s="43">
        <v>161.69</v>
      </c>
      <c r="F89" s="159"/>
      <c r="G89" s="160"/>
      <c r="H89" s="160"/>
      <c r="I89" s="160"/>
      <c r="J89" s="160"/>
      <c r="K89" s="161"/>
      <c r="L89" s="23" t="s">
        <v>33</v>
      </c>
    </row>
    <row r="90" spans="1:12" x14ac:dyDescent="0.25">
      <c r="A90" s="17" t="s">
        <v>93</v>
      </c>
      <c r="B90" s="143" t="s">
        <v>528</v>
      </c>
      <c r="C90" s="144"/>
      <c r="D90" s="158"/>
      <c r="E90" s="43">
        <v>649.4</v>
      </c>
      <c r="F90" s="159"/>
      <c r="G90" s="160"/>
      <c r="H90" s="160"/>
      <c r="I90" s="160"/>
      <c r="J90" s="160"/>
      <c r="K90" s="161"/>
      <c r="L90" s="17" t="s">
        <v>33</v>
      </c>
    </row>
    <row r="91" spans="1:12" x14ac:dyDescent="0.25">
      <c r="A91" s="17" t="s">
        <v>98</v>
      </c>
      <c r="B91" s="74"/>
      <c r="C91" s="75" t="s">
        <v>529</v>
      </c>
      <c r="D91" s="76"/>
      <c r="E91" s="43">
        <v>472.69</v>
      </c>
      <c r="F91" s="77"/>
      <c r="G91" s="78"/>
      <c r="H91" s="78"/>
      <c r="I91" s="78"/>
      <c r="J91" s="78"/>
      <c r="K91" s="79"/>
      <c r="L91" s="17" t="s">
        <v>33</v>
      </c>
    </row>
    <row r="92" spans="1:12" x14ac:dyDescent="0.25">
      <c r="A92" s="17" t="s">
        <v>99</v>
      </c>
      <c r="B92" s="74"/>
      <c r="C92" s="75" t="s">
        <v>530</v>
      </c>
      <c r="D92" s="76"/>
      <c r="E92" s="43">
        <v>348.06</v>
      </c>
      <c r="F92" s="77"/>
      <c r="G92" s="78"/>
      <c r="H92" s="78"/>
      <c r="I92" s="78"/>
      <c r="J92" s="78"/>
      <c r="K92" s="79"/>
      <c r="L92" s="17" t="s">
        <v>33</v>
      </c>
    </row>
    <row r="93" spans="1:12" x14ac:dyDescent="0.25">
      <c r="A93" s="17" t="s">
        <v>100</v>
      </c>
      <c r="B93" s="74"/>
      <c r="C93" s="75" t="s">
        <v>531</v>
      </c>
      <c r="D93" s="76"/>
      <c r="E93" s="43">
        <v>1292</v>
      </c>
      <c r="F93" s="77"/>
      <c r="G93" s="78"/>
      <c r="H93" s="78"/>
      <c r="I93" s="78"/>
      <c r="J93" s="78"/>
      <c r="K93" s="79"/>
      <c r="L93" s="17" t="s">
        <v>33</v>
      </c>
    </row>
    <row r="94" spans="1:12" x14ac:dyDescent="0.25">
      <c r="A94" s="17" t="s">
        <v>103</v>
      </c>
      <c r="B94" s="74"/>
      <c r="C94" s="75" t="s">
        <v>532</v>
      </c>
      <c r="D94" s="76"/>
      <c r="E94" s="43">
        <v>307.75</v>
      </c>
      <c r="F94" s="77"/>
      <c r="G94" s="78"/>
      <c r="H94" s="78"/>
      <c r="I94" s="78"/>
      <c r="J94" s="78"/>
      <c r="K94" s="79"/>
      <c r="L94" s="17" t="s">
        <v>33</v>
      </c>
    </row>
    <row r="95" spans="1:12" x14ac:dyDescent="0.25">
      <c r="A95" s="17" t="s">
        <v>104</v>
      </c>
      <c r="B95" s="74"/>
      <c r="C95" s="75" t="s">
        <v>533</v>
      </c>
      <c r="D95" s="76"/>
      <c r="E95" s="43">
        <v>352.69</v>
      </c>
      <c r="F95" s="77"/>
      <c r="G95" s="78"/>
      <c r="H95" s="78"/>
      <c r="I95" s="78"/>
      <c r="J95" s="78"/>
      <c r="K95" s="79"/>
      <c r="L95" s="17" t="s">
        <v>33</v>
      </c>
    </row>
    <row r="96" spans="1:12" x14ac:dyDescent="0.25">
      <c r="A96" s="17" t="s">
        <v>107</v>
      </c>
      <c r="B96" s="74"/>
      <c r="C96" s="75" t="s">
        <v>534</v>
      </c>
      <c r="D96" s="76"/>
      <c r="E96" s="43">
        <v>395.41</v>
      </c>
      <c r="F96" s="77"/>
      <c r="G96" s="78"/>
      <c r="H96" s="78"/>
      <c r="I96" s="78"/>
      <c r="J96" s="78"/>
      <c r="K96" s="79"/>
      <c r="L96" s="17" t="s">
        <v>33</v>
      </c>
    </row>
    <row r="97" spans="1:12" x14ac:dyDescent="0.25">
      <c r="A97" s="17" t="s">
        <v>108</v>
      </c>
      <c r="B97" s="74"/>
      <c r="C97" s="75" t="s">
        <v>535</v>
      </c>
      <c r="D97" s="76"/>
      <c r="E97" s="43">
        <v>444.89</v>
      </c>
      <c r="F97" s="77"/>
      <c r="G97" s="78"/>
      <c r="H97" s="78"/>
      <c r="I97" s="78"/>
      <c r="J97" s="78"/>
      <c r="K97" s="79"/>
      <c r="L97" s="17" t="s">
        <v>33</v>
      </c>
    </row>
    <row r="98" spans="1:12" x14ac:dyDescent="0.25">
      <c r="A98" s="17"/>
      <c r="B98" s="74"/>
      <c r="C98" s="75" t="s">
        <v>536</v>
      </c>
      <c r="D98" s="76"/>
      <c r="E98" s="43">
        <v>146.59</v>
      </c>
      <c r="F98" s="77"/>
      <c r="G98" s="78"/>
      <c r="H98" s="78" t="s">
        <v>537</v>
      </c>
      <c r="I98" s="78"/>
      <c r="J98" s="78"/>
      <c r="K98" s="79"/>
      <c r="L98" s="17"/>
    </row>
    <row r="99" spans="1:12" x14ac:dyDescent="0.25">
      <c r="A99" s="17" t="s">
        <v>121</v>
      </c>
      <c r="B99" s="74"/>
      <c r="C99" s="75" t="s">
        <v>538</v>
      </c>
      <c r="D99" s="76"/>
      <c r="E99" s="43">
        <v>316.89</v>
      </c>
      <c r="F99" s="77"/>
      <c r="G99" s="78"/>
      <c r="H99" s="78"/>
      <c r="I99" s="78"/>
      <c r="J99" s="78"/>
      <c r="K99" s="79"/>
      <c r="L99" s="17" t="s">
        <v>71</v>
      </c>
    </row>
    <row r="100" spans="1:12" x14ac:dyDescent="0.25">
      <c r="A100" s="17" t="s">
        <v>122</v>
      </c>
      <c r="B100" s="143" t="s">
        <v>539</v>
      </c>
      <c r="C100" s="144"/>
      <c r="D100" s="158"/>
      <c r="E100" s="43">
        <v>496.22</v>
      </c>
      <c r="F100" s="159"/>
      <c r="G100" s="160"/>
      <c r="H100" s="160"/>
      <c r="I100" s="160"/>
      <c r="J100" s="160"/>
      <c r="K100" s="161"/>
      <c r="L100" s="17" t="s">
        <v>71</v>
      </c>
    </row>
    <row r="101" spans="1:12" x14ac:dyDescent="0.25">
      <c r="A101" s="17" t="s">
        <v>123</v>
      </c>
      <c r="B101" s="74"/>
      <c r="C101" s="75" t="s">
        <v>540</v>
      </c>
      <c r="D101" s="76"/>
      <c r="E101" s="43">
        <v>2743.03</v>
      </c>
      <c r="F101" s="77"/>
      <c r="G101" s="78"/>
      <c r="H101" s="78"/>
      <c r="I101" s="78"/>
      <c r="J101" s="78"/>
      <c r="K101" s="79"/>
      <c r="L101" s="17" t="s">
        <v>71</v>
      </c>
    </row>
    <row r="102" spans="1:12" x14ac:dyDescent="0.25">
      <c r="A102" s="17" t="s">
        <v>124</v>
      </c>
      <c r="B102" s="74"/>
      <c r="C102" s="75" t="s">
        <v>541</v>
      </c>
      <c r="D102" s="76"/>
      <c r="E102" s="43">
        <v>477.88</v>
      </c>
      <c r="F102" s="77"/>
      <c r="G102" s="78"/>
      <c r="H102" s="78"/>
      <c r="I102" s="78"/>
      <c r="J102" s="78"/>
      <c r="K102" s="79"/>
      <c r="L102" s="17" t="s">
        <v>71</v>
      </c>
    </row>
    <row r="103" spans="1:12" x14ac:dyDescent="0.25">
      <c r="A103" s="17"/>
      <c r="B103" s="143"/>
      <c r="C103" s="144"/>
      <c r="D103" s="158"/>
      <c r="E103" s="43"/>
      <c r="F103" s="159"/>
      <c r="G103" s="160"/>
      <c r="H103" s="160"/>
      <c r="I103" s="160"/>
      <c r="J103" s="160"/>
      <c r="K103" s="161"/>
      <c r="L103" s="17"/>
    </row>
    <row r="104" spans="1:12" ht="16.5" thickBot="1" x14ac:dyDescent="0.3">
      <c r="A104" s="26"/>
      <c r="B104" s="149"/>
      <c r="C104" s="150"/>
      <c r="D104" s="169"/>
      <c r="E104" s="45"/>
      <c r="F104" s="170"/>
      <c r="G104" s="171"/>
      <c r="H104" s="171"/>
      <c r="I104" s="171"/>
      <c r="J104" s="171"/>
      <c r="K104" s="172"/>
      <c r="L104" s="26"/>
    </row>
    <row r="105" spans="1:12" x14ac:dyDescent="0.25">
      <c r="A105" s="68"/>
      <c r="B105" s="69"/>
      <c r="C105" s="46"/>
      <c r="D105" s="46"/>
      <c r="F105" s="47"/>
      <c r="G105" s="47"/>
      <c r="H105" s="47"/>
      <c r="I105" s="47"/>
      <c r="J105" s="47"/>
      <c r="K105" s="47"/>
    </row>
    <row r="106" spans="1:12" x14ac:dyDescent="0.25">
      <c r="B106" s="176" t="s">
        <v>464</v>
      </c>
      <c r="C106" s="176"/>
      <c r="D106" s="176"/>
      <c r="E106" s="6">
        <f>SUM(E39:E47)</f>
        <v>1543.8799999999999</v>
      </c>
      <c r="F106" s="6"/>
      <c r="G106" s="6"/>
      <c r="H106" s="6"/>
      <c r="I106" s="6"/>
      <c r="J106" s="6"/>
      <c r="K106" s="6"/>
    </row>
    <row r="107" spans="1:12" x14ac:dyDescent="0.25">
      <c r="B107" s="176" t="s">
        <v>465</v>
      </c>
      <c r="C107" s="176"/>
      <c r="D107" s="176"/>
      <c r="E107" s="6">
        <f>SUM(E20:E37)</f>
        <v>7410.31</v>
      </c>
    </row>
    <row r="108" spans="1:12" x14ac:dyDescent="0.25">
      <c r="B108" s="176" t="s">
        <v>466</v>
      </c>
      <c r="C108" s="176"/>
      <c r="D108" s="176"/>
      <c r="E108" s="6">
        <f>SUM(E49:E72)</f>
        <v>17281.260000000002</v>
      </c>
    </row>
    <row r="113" spans="2:2" ht="18.75" x14ac:dyDescent="0.3">
      <c r="B113" s="48"/>
    </row>
  </sheetData>
  <mergeCells count="145">
    <mergeCell ref="B106:D106"/>
    <mergeCell ref="B108:D108"/>
    <mergeCell ref="B107:D107"/>
    <mergeCell ref="B87:D87"/>
    <mergeCell ref="F87:K87"/>
    <mergeCell ref="B88:D88"/>
    <mergeCell ref="F88:K88"/>
    <mergeCell ref="B103:D103"/>
    <mergeCell ref="F103:K103"/>
    <mergeCell ref="F100:K100"/>
    <mergeCell ref="B100:D100"/>
    <mergeCell ref="B85:D85"/>
    <mergeCell ref="F85:K85"/>
    <mergeCell ref="B86:D86"/>
    <mergeCell ref="F86:K86"/>
    <mergeCell ref="B89:D89"/>
    <mergeCell ref="F89:K89"/>
    <mergeCell ref="B90:D90"/>
    <mergeCell ref="F90:K90"/>
    <mergeCell ref="B104:D104"/>
    <mergeCell ref="F104:K104"/>
    <mergeCell ref="B83:D83"/>
    <mergeCell ref="F83:K83"/>
    <mergeCell ref="B84:D84"/>
    <mergeCell ref="F84:K84"/>
    <mergeCell ref="B81:D81"/>
    <mergeCell ref="F81:K81"/>
    <mergeCell ref="B82:D82"/>
    <mergeCell ref="F82:K82"/>
    <mergeCell ref="B78:D78"/>
    <mergeCell ref="F78:K78"/>
    <mergeCell ref="B79:D79"/>
    <mergeCell ref="F79:K79"/>
    <mergeCell ref="B80:D80"/>
    <mergeCell ref="F80:K80"/>
    <mergeCell ref="B76:D76"/>
    <mergeCell ref="F76:K76"/>
    <mergeCell ref="B77:D77"/>
    <mergeCell ref="F77:K77"/>
    <mergeCell ref="B63:D63"/>
    <mergeCell ref="F63:K63"/>
    <mergeCell ref="B64:D64"/>
    <mergeCell ref="F64:K64"/>
    <mergeCell ref="B70:D70"/>
    <mergeCell ref="F70:K70"/>
    <mergeCell ref="B71:D71"/>
    <mergeCell ref="F71:K71"/>
    <mergeCell ref="B72:D72"/>
    <mergeCell ref="F72:K72"/>
    <mergeCell ref="B73:D73"/>
    <mergeCell ref="F73:K73"/>
    <mergeCell ref="B74:D74"/>
    <mergeCell ref="F74:K74"/>
    <mergeCell ref="B75:D75"/>
    <mergeCell ref="F75:K75"/>
    <mergeCell ref="B55:D55"/>
    <mergeCell ref="F55:K55"/>
    <mergeCell ref="B61:D61"/>
    <mergeCell ref="F61:K61"/>
    <mergeCell ref="B62:D62"/>
    <mergeCell ref="F62:K62"/>
    <mergeCell ref="B47:D47"/>
    <mergeCell ref="F47:K47"/>
    <mergeCell ref="B48:D48"/>
    <mergeCell ref="F48:K48"/>
    <mergeCell ref="B49:D49"/>
    <mergeCell ref="F49:K49"/>
    <mergeCell ref="B44:D44"/>
    <mergeCell ref="F44:K44"/>
    <mergeCell ref="B45:D45"/>
    <mergeCell ref="F45:K45"/>
    <mergeCell ref="B46:D46"/>
    <mergeCell ref="F46:K46"/>
    <mergeCell ref="B41:D41"/>
    <mergeCell ref="F41:K41"/>
    <mergeCell ref="B42:D42"/>
    <mergeCell ref="F42:K42"/>
    <mergeCell ref="B43:D43"/>
    <mergeCell ref="F43:K43"/>
    <mergeCell ref="B38:D38"/>
    <mergeCell ref="F38:K38"/>
    <mergeCell ref="B39:D39"/>
    <mergeCell ref="F39:K39"/>
    <mergeCell ref="B40:D40"/>
    <mergeCell ref="F40:K40"/>
    <mergeCell ref="B35:D35"/>
    <mergeCell ref="H35:K35"/>
    <mergeCell ref="B36:D36"/>
    <mergeCell ref="H36:K36"/>
    <mergeCell ref="B37:D37"/>
    <mergeCell ref="H37:K37"/>
    <mergeCell ref="B32:D32"/>
    <mergeCell ref="H32:K32"/>
    <mergeCell ref="B33:D33"/>
    <mergeCell ref="H33:K33"/>
    <mergeCell ref="B34:D34"/>
    <mergeCell ref="H34:K34"/>
    <mergeCell ref="B29:D29"/>
    <mergeCell ref="H29:K29"/>
    <mergeCell ref="B30:D30"/>
    <mergeCell ref="H30:K30"/>
    <mergeCell ref="B31:D31"/>
    <mergeCell ref="H31:K31"/>
    <mergeCell ref="B27:D27"/>
    <mergeCell ref="H27:K27"/>
    <mergeCell ref="B28:D28"/>
    <mergeCell ref="H28:K28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I15:K15"/>
    <mergeCell ref="B19:D19"/>
    <mergeCell ref="H19:K19"/>
    <mergeCell ref="B20:D20"/>
    <mergeCell ref="H20:K20"/>
    <mergeCell ref="A18:L18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</mergeCells>
  <conditionalFormatting sqref="A18:A19">
    <cfRule type="cellIs" dxfId="626" priority="1" stopIfTrue="1" operator="equal">
      <formula>"OK"</formula>
    </cfRule>
  </conditionalFormatting>
  <conditionalFormatting sqref="A111:XFD1048576">
    <cfRule type="cellIs" dxfId="625" priority="13" stopIfTrue="1" operator="equal">
      <formula>"OK"</formula>
    </cfRule>
  </conditionalFormatting>
  <conditionalFormatting sqref="B49:B62 B20:H37">
    <cfRule type="expression" dxfId="624" priority="20">
      <formula>$J20="ancien paiement"</formula>
    </cfRule>
  </conditionalFormatting>
  <conditionalFormatting sqref="B75:B77 E75:F77 B82:D82 E82:F83 B83 B84:K84 B85 E85:F85 B86:K104">
    <cfRule type="expression" dxfId="623" priority="19">
      <formula>$F75="ancien paiement"</formula>
    </cfRule>
    <cfRule type="expression" dxfId="622" priority="21">
      <formula>$J75="ancien paiement"</formula>
    </cfRule>
  </conditionalFormatting>
  <conditionalFormatting sqref="B75:B77 E75:F77 B82:D82 E82:F83 B83 B84:XFD84 B85 E85:F85 B86:XFD110 B19:H37 B38:XFD47 B78:XFD81 B73:XFD74 B1:J1 M1:XFD1 A2:XFD2 E3 G3:I3 M3:XFD3 B3:D6 K4 P4:XFD7 K5:L7 B7:I7 B8:D8 F8 I8 M8:XFD8 L9:XFD16 A17:XFD17 M18:XFD18 L19:XFD37 M48:XFD72 L75:XFD77 L82:XFD83 L85:XFD85">
    <cfRule type="cellIs" dxfId="621" priority="22" stopIfTrue="1" operator="equal">
      <formula>"OK"</formula>
    </cfRule>
  </conditionalFormatting>
  <conditionalFormatting sqref="B9:I16">
    <cfRule type="cellIs" dxfId="620" priority="11" stopIfTrue="1" operator="equal">
      <formula>"OK"</formula>
    </cfRule>
  </conditionalFormatting>
  <conditionalFormatting sqref="B39:K39">
    <cfRule type="expression" dxfId="619" priority="18">
      <formula>$J39="ancien paiement"</formula>
    </cfRule>
  </conditionalFormatting>
  <conditionalFormatting sqref="B39:K48 B49:B62">
    <cfRule type="expression" dxfId="618" priority="5">
      <formula>$F39="ancien paiement"</formula>
    </cfRule>
  </conditionalFormatting>
  <conditionalFormatting sqref="B41:K48">
    <cfRule type="expression" dxfId="617" priority="6">
      <formula>$J41="ancien paiement"</formula>
    </cfRule>
  </conditionalFormatting>
  <conditionalFormatting sqref="B64:K74">
    <cfRule type="expression" dxfId="616" priority="7">
      <formula>$F64="ancien paiement"</formula>
    </cfRule>
    <cfRule type="expression" dxfId="615" priority="8">
      <formula>$J64="ancien paiement"</formula>
    </cfRule>
  </conditionalFormatting>
  <conditionalFormatting sqref="B78:K79">
    <cfRule type="expression" dxfId="614" priority="16">
      <formula>$F78="ancien paiement"</formula>
    </cfRule>
    <cfRule type="expression" dxfId="613" priority="17">
      <formula>$J78="ancien paiement"</formula>
    </cfRule>
  </conditionalFormatting>
  <conditionalFormatting sqref="B81:K81">
    <cfRule type="expression" dxfId="612" priority="14">
      <formula>$F81="ancien paiement"</formula>
    </cfRule>
    <cfRule type="expression" dxfId="611" priority="15">
      <formula>$J81="ancien paiement"</formula>
    </cfRule>
  </conditionalFormatting>
  <conditionalFormatting sqref="B61:L72 B48:L54 B55:D60">
    <cfRule type="cellIs" dxfId="610" priority="9" stopIfTrue="1" operator="equal">
      <formula>"OK"</formula>
    </cfRule>
  </conditionalFormatting>
  <conditionalFormatting sqref="E49:E54">
    <cfRule type="expression" dxfId="609" priority="10">
      <formula>#REF!="ancien paiement"</formula>
    </cfRule>
  </conditionalFormatting>
  <conditionalFormatting sqref="E49:F62">
    <cfRule type="expression" dxfId="608" priority="2">
      <formula>$F49="ancien paiement"</formula>
    </cfRule>
    <cfRule type="expression" dxfId="607" priority="3">
      <formula>$J49="ancien paiement"</formula>
    </cfRule>
  </conditionalFormatting>
  <conditionalFormatting sqref="E4:I6">
    <cfRule type="cellIs" dxfId="606" priority="12" stopIfTrue="1" operator="equal">
      <formula>"OK"</formula>
    </cfRule>
  </conditionalFormatting>
  <conditionalFormatting sqref="E55:L60">
    <cfRule type="cellIs" dxfId="605" priority="4" stopIfTrue="1" operator="equal">
      <formula>"OK"</formula>
    </cfRule>
  </conditionalFormatting>
  <pageMargins left="0.7" right="0.7" top="0.75" bottom="0.75" header="0.3" footer="0.3"/>
  <pageSetup paperSize="9" scale="42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04"/>
  <sheetViews>
    <sheetView topLeftCell="A46" workbookViewId="0">
      <selection activeCell="F64" sqref="F64:K64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46115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542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10145</v>
      </c>
      <c r="G4" s="1" t="s">
        <v>543</v>
      </c>
      <c r="I4" s="112" t="s">
        <v>3</v>
      </c>
      <c r="J4" s="113"/>
      <c r="K4" s="114">
        <f>E97+C14</f>
        <v>10149.459999999999</v>
      </c>
      <c r="L4" s="115"/>
      <c r="N4" s="6"/>
    </row>
    <row r="5" spans="2:14" ht="16.5" thickBot="1" x14ac:dyDescent="0.3">
      <c r="E5" s="7" t="s">
        <v>4</v>
      </c>
      <c r="F5" s="8">
        <v>2751.14</v>
      </c>
      <c r="G5" s="1" t="s">
        <v>544</v>
      </c>
      <c r="I5" s="95" t="s">
        <v>5</v>
      </c>
      <c r="J5" s="96"/>
      <c r="K5" s="97">
        <f>E15+E98</f>
        <v>2751.14</v>
      </c>
      <c r="L5" s="98"/>
      <c r="N5" s="6"/>
    </row>
    <row r="6" spans="2:14" ht="16.5" thickBot="1" x14ac:dyDescent="0.3">
      <c r="E6" s="9" t="s">
        <v>445</v>
      </c>
      <c r="F6" s="10">
        <v>4.5</v>
      </c>
      <c r="I6" s="95" t="s">
        <v>446</v>
      </c>
      <c r="J6" s="96"/>
      <c r="K6" s="97">
        <f>G15+E99</f>
        <v>37509.359999999993</v>
      </c>
      <c r="L6" s="98"/>
    </row>
    <row r="7" spans="2:14" ht="16.5" thickBot="1" x14ac:dyDescent="0.3">
      <c r="I7" s="99" t="s">
        <v>6</v>
      </c>
      <c r="J7" s="100"/>
      <c r="K7" s="101">
        <f>SUM(E73:E78)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5150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1880</v>
      </c>
      <c r="D10" s="19" t="s">
        <v>161</v>
      </c>
      <c r="E10" s="49">
        <v>466.53</v>
      </c>
      <c r="F10" s="20" t="s">
        <v>9</v>
      </c>
      <c r="G10" s="21">
        <v>10834.72</v>
      </c>
      <c r="H10" s="6"/>
      <c r="I10" s="180" t="s">
        <v>545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2480</v>
      </c>
      <c r="D11" s="22" t="s">
        <v>471</v>
      </c>
      <c r="E11" s="50">
        <v>253.53</v>
      </c>
      <c r="F11" s="23" t="s">
        <v>454</v>
      </c>
      <c r="G11" s="24"/>
      <c r="H11" s="6"/>
      <c r="I11" s="140" t="s">
        <v>546</v>
      </c>
      <c r="J11" s="141"/>
      <c r="K11" s="142"/>
      <c r="L11" s="21">
        <v>150</v>
      </c>
    </row>
    <row r="12" spans="2:14" ht="21.6" customHeight="1" x14ac:dyDescent="0.25">
      <c r="B12" s="17" t="s">
        <v>455</v>
      </c>
      <c r="C12" s="18"/>
      <c r="D12" s="22" t="s">
        <v>547</v>
      </c>
      <c r="E12" s="50">
        <v>730.5</v>
      </c>
      <c r="F12" s="23"/>
      <c r="G12" s="24"/>
      <c r="H12" s="6"/>
      <c r="I12" s="140" t="s">
        <v>548</v>
      </c>
      <c r="J12" s="141"/>
      <c r="K12" s="142"/>
      <c r="L12" s="24">
        <v>100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9510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/>
      <c r="D15" s="28" t="s">
        <v>11</v>
      </c>
      <c r="E15" s="29">
        <f>SUM(E10:E14)</f>
        <v>1450.56</v>
      </c>
      <c r="F15" s="30" t="s">
        <v>11</v>
      </c>
      <c r="G15" s="31">
        <f>SUM(G10:G14)</f>
        <v>10834.72</v>
      </c>
      <c r="H15" s="6"/>
      <c r="I15" s="116" t="s">
        <v>457</v>
      </c>
      <c r="J15" s="117"/>
      <c r="K15" s="118"/>
      <c r="L15" s="32">
        <f>C15-'2'!C15</f>
        <v>-536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206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136</v>
      </c>
      <c r="B20" s="128" t="s">
        <v>135</v>
      </c>
      <c r="C20" s="129"/>
      <c r="D20" s="130"/>
      <c r="E20" s="20">
        <v>704.82</v>
      </c>
      <c r="F20" s="12" t="s">
        <v>137</v>
      </c>
      <c r="G20" s="51">
        <v>222</v>
      </c>
      <c r="H20" s="131"/>
      <c r="I20" s="132"/>
      <c r="J20" s="132"/>
      <c r="K20" s="133"/>
      <c r="L20" s="20" t="s">
        <v>71</v>
      </c>
    </row>
    <row r="21" spans="1:12" x14ac:dyDescent="0.25">
      <c r="A21" s="66" t="s">
        <v>139</v>
      </c>
      <c r="B21" s="143" t="s">
        <v>549</v>
      </c>
      <c r="C21" s="144"/>
      <c r="D21" s="145"/>
      <c r="E21" s="20">
        <v>297.5</v>
      </c>
      <c r="F21" s="23" t="s">
        <v>60</v>
      </c>
      <c r="G21" s="52">
        <v>857179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154</v>
      </c>
      <c r="B22" s="143" t="s">
        <v>550</v>
      </c>
      <c r="C22" s="144"/>
      <c r="D22" s="145"/>
      <c r="E22" s="20">
        <v>298.26</v>
      </c>
      <c r="F22" s="23" t="s">
        <v>75</v>
      </c>
      <c r="G22" s="52">
        <v>71</v>
      </c>
      <c r="H22" s="146"/>
      <c r="I22" s="147"/>
      <c r="J22" s="147"/>
      <c r="K22" s="148"/>
      <c r="L22" s="23" t="s">
        <v>71</v>
      </c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152</v>
      </c>
      <c r="B39" s="128" t="s">
        <v>153</v>
      </c>
      <c r="C39" s="129"/>
      <c r="D39" s="162"/>
      <c r="E39" s="41">
        <v>325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158</v>
      </c>
      <c r="B40" s="143" t="s">
        <v>159</v>
      </c>
      <c r="C40" s="144"/>
      <c r="D40" s="158"/>
      <c r="E40" s="43">
        <v>314.45999999999998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126</v>
      </c>
      <c r="B49" s="143" t="s">
        <v>962</v>
      </c>
      <c r="C49" s="144"/>
      <c r="D49" s="158"/>
      <c r="E49" s="43">
        <v>2705.81</v>
      </c>
      <c r="F49" s="159"/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 t="s">
        <v>112</v>
      </c>
      <c r="B50" s="74"/>
      <c r="C50" s="75" t="s">
        <v>111</v>
      </c>
      <c r="D50" s="76"/>
      <c r="E50" s="43">
        <v>7000</v>
      </c>
      <c r="F50" s="77"/>
      <c r="G50" s="78"/>
      <c r="H50" s="78"/>
      <c r="I50" s="78"/>
      <c r="J50" s="78"/>
      <c r="K50" s="79"/>
      <c r="L50" s="20" t="s">
        <v>71</v>
      </c>
    </row>
    <row r="51" spans="1:12" x14ac:dyDescent="0.25">
      <c r="A51" s="66" t="s">
        <v>112</v>
      </c>
      <c r="B51" s="74"/>
      <c r="C51" s="75" t="s">
        <v>111</v>
      </c>
      <c r="D51" s="76"/>
      <c r="E51" s="43">
        <v>6500</v>
      </c>
      <c r="F51" s="77"/>
      <c r="G51" s="78"/>
      <c r="H51" s="78"/>
      <c r="I51" s="78"/>
      <c r="J51" s="78"/>
      <c r="K51" s="79"/>
      <c r="L51" s="20" t="s">
        <v>71</v>
      </c>
    </row>
    <row r="52" spans="1:12" x14ac:dyDescent="0.25">
      <c r="A52" s="66" t="s">
        <v>72</v>
      </c>
      <c r="B52" s="74"/>
      <c r="C52" s="75" t="s">
        <v>522</v>
      </c>
      <c r="D52" s="76"/>
      <c r="E52" s="43">
        <v>2006.45</v>
      </c>
      <c r="F52" s="77"/>
      <c r="G52" s="78"/>
      <c r="H52" s="78"/>
      <c r="I52" s="78"/>
      <c r="J52" s="78"/>
      <c r="K52" s="79"/>
      <c r="L52" s="20" t="s">
        <v>71</v>
      </c>
    </row>
    <row r="53" spans="1:12" x14ac:dyDescent="0.25">
      <c r="A53" s="66" t="s">
        <v>127</v>
      </c>
      <c r="B53" s="74"/>
      <c r="C53" s="75" t="s">
        <v>551</v>
      </c>
      <c r="D53" s="76"/>
      <c r="E53" s="43">
        <v>2063.5500000000002</v>
      </c>
      <c r="F53" s="77"/>
      <c r="G53" s="78"/>
      <c r="H53" s="78"/>
      <c r="I53" s="78"/>
      <c r="J53" s="78"/>
      <c r="K53" s="79"/>
      <c r="L53" s="20" t="s">
        <v>71</v>
      </c>
    </row>
    <row r="54" spans="1:12" x14ac:dyDescent="0.25">
      <c r="A54" s="66" t="s">
        <v>128</v>
      </c>
      <c r="B54" s="74"/>
      <c r="C54" s="75" t="s">
        <v>485</v>
      </c>
      <c r="D54" s="76"/>
      <c r="E54" s="43">
        <v>2270.4</v>
      </c>
      <c r="F54" s="77"/>
      <c r="G54" s="78"/>
      <c r="H54" s="78"/>
      <c r="I54" s="78"/>
      <c r="J54" s="78"/>
      <c r="K54" s="79"/>
      <c r="L54" s="20" t="s">
        <v>71</v>
      </c>
    </row>
    <row r="55" spans="1:12" x14ac:dyDescent="0.25">
      <c r="A55" s="66" t="s">
        <v>121</v>
      </c>
      <c r="B55" s="74"/>
      <c r="C55" s="75" t="s">
        <v>538</v>
      </c>
      <c r="D55" s="76"/>
      <c r="E55" s="43">
        <v>285.86</v>
      </c>
      <c r="F55" s="77"/>
      <c r="G55" s="78"/>
      <c r="H55" s="78"/>
      <c r="I55" s="78"/>
      <c r="J55" s="78"/>
      <c r="K55" s="79"/>
      <c r="L55" s="20" t="s">
        <v>71</v>
      </c>
    </row>
    <row r="56" spans="1:12" x14ac:dyDescent="0.25">
      <c r="A56" s="66" t="s">
        <v>129</v>
      </c>
      <c r="B56" s="74"/>
      <c r="C56" s="75" t="s">
        <v>552</v>
      </c>
      <c r="D56" s="76"/>
      <c r="E56" s="43">
        <v>514.87</v>
      </c>
      <c r="F56" s="77"/>
      <c r="G56" s="78"/>
      <c r="H56" s="78"/>
      <c r="I56" s="78"/>
      <c r="J56" s="78"/>
      <c r="K56" s="79"/>
      <c r="L56" s="20" t="s">
        <v>71</v>
      </c>
    </row>
    <row r="57" spans="1:12" x14ac:dyDescent="0.25">
      <c r="A57" s="66" t="s">
        <v>112</v>
      </c>
      <c r="B57" s="74"/>
      <c r="C57" s="75" t="s">
        <v>130</v>
      </c>
      <c r="D57" s="76"/>
      <c r="E57" s="43">
        <v>967.35</v>
      </c>
      <c r="F57" s="77"/>
      <c r="G57" s="78"/>
      <c r="H57" s="78"/>
      <c r="I57" s="78"/>
      <c r="J57" s="78"/>
      <c r="K57" s="79"/>
      <c r="L57" s="20" t="s">
        <v>71</v>
      </c>
    </row>
    <row r="58" spans="1:12" x14ac:dyDescent="0.25">
      <c r="A58" s="66" t="s">
        <v>103</v>
      </c>
      <c r="B58" s="74"/>
      <c r="C58" s="75" t="s">
        <v>532</v>
      </c>
      <c r="D58" s="76"/>
      <c r="E58" s="43">
        <v>307.75</v>
      </c>
      <c r="F58" s="77"/>
      <c r="G58" s="78"/>
      <c r="H58" s="78"/>
      <c r="I58" s="78"/>
      <c r="J58" s="78"/>
      <c r="K58" s="79"/>
      <c r="L58" s="20" t="s">
        <v>71</v>
      </c>
    </row>
    <row r="59" spans="1:12" x14ac:dyDescent="0.25">
      <c r="A59" s="66" t="s">
        <v>131</v>
      </c>
      <c r="B59" s="74"/>
      <c r="C59" s="75" t="s">
        <v>531</v>
      </c>
      <c r="D59" s="76"/>
      <c r="E59" s="43">
        <v>1292</v>
      </c>
      <c r="F59" s="77"/>
      <c r="G59" s="78"/>
      <c r="H59" s="78"/>
      <c r="I59" s="78"/>
      <c r="J59" s="78"/>
      <c r="K59" s="79"/>
      <c r="L59" s="20" t="s">
        <v>71</v>
      </c>
    </row>
    <row r="60" spans="1:12" x14ac:dyDescent="0.25">
      <c r="A60" s="66" t="s">
        <v>132</v>
      </c>
      <c r="B60" s="74"/>
      <c r="C60" s="75" t="s">
        <v>534</v>
      </c>
      <c r="D60" s="76"/>
      <c r="E60" s="43">
        <v>365.19</v>
      </c>
      <c r="F60" s="77"/>
      <c r="G60" s="78"/>
      <c r="H60" s="78"/>
      <c r="I60" s="78"/>
      <c r="J60" s="78"/>
      <c r="K60" s="79"/>
      <c r="L60" s="20" t="s">
        <v>71</v>
      </c>
    </row>
    <row r="61" spans="1:12" x14ac:dyDescent="0.25">
      <c r="A61" s="66" t="s">
        <v>132</v>
      </c>
      <c r="B61" s="74"/>
      <c r="C61" s="75" t="s">
        <v>534</v>
      </c>
      <c r="D61" s="76"/>
      <c r="E61" s="43">
        <v>395.41</v>
      </c>
      <c r="F61" s="77"/>
      <c r="G61" s="78"/>
      <c r="H61" s="78"/>
      <c r="I61" s="78"/>
      <c r="J61" s="78"/>
      <c r="K61" s="79"/>
      <c r="L61" s="20" t="s">
        <v>71</v>
      </c>
    </row>
    <row r="62" spans="1:12" x14ac:dyDescent="0.25">
      <c r="A62" s="66"/>
      <c r="B62" s="74"/>
      <c r="C62" s="75"/>
      <c r="D62" s="76"/>
      <c r="E62" s="43"/>
      <c r="F62" s="77"/>
      <c r="G62" s="78"/>
      <c r="H62" s="78"/>
      <c r="I62" s="78"/>
      <c r="J62" s="78"/>
      <c r="K62" s="79"/>
      <c r="L62" s="20"/>
    </row>
    <row r="63" spans="1:12" x14ac:dyDescent="0.25">
      <c r="A63" s="66"/>
      <c r="B63" s="74"/>
      <c r="C63" s="75"/>
      <c r="D63" s="76"/>
      <c r="E63" s="43"/>
      <c r="F63" s="77"/>
      <c r="G63" s="78"/>
      <c r="H63" s="78"/>
      <c r="I63" s="78"/>
      <c r="J63" s="78"/>
      <c r="K63" s="79"/>
      <c r="L63" s="20"/>
    </row>
    <row r="64" spans="1:12" x14ac:dyDescent="0.25">
      <c r="A64" s="66"/>
      <c r="B64" s="143"/>
      <c r="C64" s="144"/>
      <c r="D64" s="158"/>
      <c r="E64" s="43"/>
      <c r="F64" s="159"/>
      <c r="G64" s="160"/>
      <c r="H64" s="160"/>
      <c r="I64" s="160"/>
      <c r="J64" s="160"/>
      <c r="K64" s="161"/>
      <c r="L64" s="20"/>
    </row>
    <row r="65" spans="1:12" x14ac:dyDescent="0.25">
      <c r="A65" s="66"/>
      <c r="B65" s="143"/>
      <c r="C65" s="144"/>
      <c r="D65" s="158"/>
      <c r="E65" s="43"/>
      <c r="F65" s="159"/>
      <c r="G65" s="160"/>
      <c r="H65" s="160"/>
      <c r="I65" s="160"/>
      <c r="J65" s="160"/>
      <c r="K65" s="161"/>
      <c r="L65" s="20"/>
    </row>
    <row r="66" spans="1:12" ht="16.5" thickBot="1" x14ac:dyDescent="0.3">
      <c r="A66" s="66"/>
      <c r="B66" s="143"/>
      <c r="C66" s="144"/>
      <c r="D66" s="158"/>
      <c r="E66" s="43"/>
      <c r="F66" s="159"/>
      <c r="G66" s="160"/>
      <c r="H66" s="160"/>
      <c r="I66" s="160"/>
      <c r="J66" s="160"/>
      <c r="K66" s="161"/>
      <c r="L66" s="20"/>
    </row>
    <row r="67" spans="1:12" ht="16.5" thickBot="1" x14ac:dyDescent="0.3">
      <c r="A67" s="71" t="s">
        <v>458</v>
      </c>
      <c r="B67" s="166" t="s">
        <v>462</v>
      </c>
      <c r="C67" s="167"/>
      <c r="D67" s="168"/>
      <c r="E67" s="36" t="s">
        <v>8</v>
      </c>
      <c r="F67" s="119" t="s">
        <v>15</v>
      </c>
      <c r="G67" s="120"/>
      <c r="H67" s="120"/>
      <c r="I67" s="120"/>
      <c r="J67" s="120"/>
      <c r="K67" s="121"/>
      <c r="L67" s="39" t="s">
        <v>16</v>
      </c>
    </row>
    <row r="68" spans="1:12" x14ac:dyDescent="0.25">
      <c r="A68" s="66" t="s">
        <v>298</v>
      </c>
      <c r="B68" s="143" t="s">
        <v>553</v>
      </c>
      <c r="C68" s="144">
        <v>802.36</v>
      </c>
      <c r="D68" s="158" t="s">
        <v>18</v>
      </c>
      <c r="E68" s="43"/>
      <c r="F68" s="163">
        <v>354.91</v>
      </c>
      <c r="G68" s="164"/>
      <c r="H68" s="164"/>
      <c r="I68" s="164"/>
      <c r="J68" s="164"/>
      <c r="K68" s="165"/>
      <c r="L68" s="20" t="s">
        <v>71</v>
      </c>
    </row>
    <row r="69" spans="1:12" x14ac:dyDescent="0.25">
      <c r="A69" s="66"/>
      <c r="B69" s="143"/>
      <c r="C69" s="144">
        <v>675.28</v>
      </c>
      <c r="D69" s="158" t="s">
        <v>19</v>
      </c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66"/>
      <c r="B70" s="143"/>
      <c r="C70" s="144">
        <v>689.72</v>
      </c>
      <c r="D70" s="158" t="s">
        <v>19</v>
      </c>
      <c r="E70" s="43"/>
      <c r="F70" s="159"/>
      <c r="G70" s="160"/>
      <c r="H70" s="160"/>
      <c r="I70" s="160"/>
      <c r="J70" s="160"/>
      <c r="K70" s="161"/>
      <c r="L70" s="23"/>
    </row>
    <row r="71" spans="1:12" ht="16.5" thickBot="1" x14ac:dyDescent="0.3">
      <c r="A71" s="66"/>
      <c r="B71" s="143"/>
      <c r="C71" s="144">
        <v>340.26</v>
      </c>
      <c r="D71" s="158" t="s">
        <v>20</v>
      </c>
      <c r="E71" s="43"/>
      <c r="F71" s="159"/>
      <c r="G71" s="160"/>
      <c r="H71" s="160"/>
      <c r="I71" s="160"/>
      <c r="J71" s="160"/>
      <c r="K71" s="161"/>
      <c r="L71" s="23"/>
    </row>
    <row r="72" spans="1:12" ht="16.5" thickBot="1" x14ac:dyDescent="0.3">
      <c r="A72" s="71" t="s">
        <v>458</v>
      </c>
      <c r="B72" s="166" t="s">
        <v>17</v>
      </c>
      <c r="C72" s="167"/>
      <c r="D72" s="168"/>
      <c r="E72" s="36" t="s">
        <v>8</v>
      </c>
      <c r="F72" s="119" t="s">
        <v>15</v>
      </c>
      <c r="G72" s="120"/>
      <c r="H72" s="120"/>
      <c r="I72" s="120"/>
      <c r="J72" s="120"/>
      <c r="K72" s="121"/>
      <c r="L72" s="39" t="s">
        <v>16</v>
      </c>
    </row>
    <row r="73" spans="1:12" x14ac:dyDescent="0.25">
      <c r="A73" s="66"/>
      <c r="B73" s="128"/>
      <c r="C73" s="129"/>
      <c r="D73" s="162"/>
      <c r="E73" s="43"/>
      <c r="F73" s="163"/>
      <c r="G73" s="164"/>
      <c r="H73" s="164"/>
      <c r="I73" s="164"/>
      <c r="J73" s="164"/>
      <c r="K73" s="165"/>
      <c r="L73" s="23"/>
    </row>
    <row r="74" spans="1:12" x14ac:dyDescent="0.25">
      <c r="A74" s="66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44"/>
    </row>
    <row r="75" spans="1:12" x14ac:dyDescent="0.25">
      <c r="A75" s="66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44"/>
    </row>
    <row r="76" spans="1:12" x14ac:dyDescent="0.25">
      <c r="A76" s="66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44"/>
    </row>
    <row r="77" spans="1:12" x14ac:dyDescent="0.25">
      <c r="A77" s="66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44"/>
    </row>
    <row r="78" spans="1:12" ht="16.5" thickBot="1" x14ac:dyDescent="0.3">
      <c r="A78" s="67"/>
      <c r="B78" s="149"/>
      <c r="C78" s="150"/>
      <c r="D78" s="169"/>
      <c r="E78" s="43"/>
      <c r="F78" s="170"/>
      <c r="G78" s="171"/>
      <c r="H78" s="171"/>
      <c r="I78" s="171"/>
      <c r="J78" s="171"/>
      <c r="K78" s="172"/>
      <c r="L78" s="29"/>
    </row>
    <row r="79" spans="1:12" ht="16.5" thickBot="1" x14ac:dyDescent="0.3">
      <c r="A79" s="70" t="s">
        <v>458</v>
      </c>
      <c r="B79" s="173" t="s">
        <v>463</v>
      </c>
      <c r="C79" s="174"/>
      <c r="D79" s="175"/>
      <c r="E79" s="36" t="s">
        <v>8</v>
      </c>
      <c r="F79" s="119" t="s">
        <v>15</v>
      </c>
      <c r="G79" s="120"/>
      <c r="H79" s="120"/>
      <c r="I79" s="120"/>
      <c r="J79" s="120"/>
      <c r="K79" s="121"/>
      <c r="L79" s="39" t="s">
        <v>16</v>
      </c>
    </row>
    <row r="80" spans="1:12" ht="16.5" thickBot="1" x14ac:dyDescent="0.3">
      <c r="A80" s="17" t="s">
        <v>133</v>
      </c>
      <c r="B80" s="128" t="s">
        <v>495</v>
      </c>
      <c r="C80" s="129"/>
      <c r="D80" s="162"/>
      <c r="E80" s="43">
        <v>398.03</v>
      </c>
      <c r="F80" s="163"/>
      <c r="G80" s="164"/>
      <c r="H80" s="164"/>
      <c r="I80" s="164"/>
      <c r="J80" s="164"/>
      <c r="K80" s="165"/>
      <c r="L80" s="23" t="s">
        <v>71</v>
      </c>
    </row>
    <row r="81" spans="1:12" x14ac:dyDescent="0.25">
      <c r="A81" s="17" t="s">
        <v>134</v>
      </c>
      <c r="B81" s="128" t="s">
        <v>554</v>
      </c>
      <c r="C81" s="129"/>
      <c r="D81" s="162"/>
      <c r="E81" s="43">
        <v>1059.19</v>
      </c>
      <c r="F81" s="159"/>
      <c r="G81" s="160"/>
      <c r="H81" s="160"/>
      <c r="I81" s="160"/>
      <c r="J81" s="160"/>
      <c r="K81" s="161"/>
      <c r="L81" s="23" t="s">
        <v>71</v>
      </c>
    </row>
    <row r="82" spans="1:12" x14ac:dyDescent="0.25">
      <c r="A82" s="17" t="s">
        <v>138</v>
      </c>
      <c r="B82" s="143" t="s">
        <v>555</v>
      </c>
      <c r="C82" s="144"/>
      <c r="D82" s="158"/>
      <c r="E82" s="43">
        <v>163.76</v>
      </c>
      <c r="F82" s="159"/>
      <c r="G82" s="160"/>
      <c r="H82" s="160"/>
      <c r="I82" s="160"/>
      <c r="J82" s="160"/>
      <c r="K82" s="161"/>
      <c r="L82" s="23" t="s">
        <v>71</v>
      </c>
    </row>
    <row r="83" spans="1:12" x14ac:dyDescent="0.25">
      <c r="A83" s="17" t="s">
        <v>140</v>
      </c>
      <c r="B83" s="143" t="s">
        <v>556</v>
      </c>
      <c r="C83" s="144"/>
      <c r="D83" s="158"/>
      <c r="E83" s="43">
        <v>958.11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17" t="s">
        <v>142</v>
      </c>
      <c r="B84" s="143" t="s">
        <v>141</v>
      </c>
      <c r="C84" s="144"/>
      <c r="D84" s="158"/>
      <c r="E84" s="43">
        <v>4434.5200000000004</v>
      </c>
      <c r="F84" s="159"/>
      <c r="G84" s="160"/>
      <c r="H84" s="160"/>
      <c r="I84" s="160"/>
      <c r="J84" s="160"/>
      <c r="K84" s="161"/>
      <c r="L84" s="23" t="s">
        <v>33</v>
      </c>
    </row>
    <row r="85" spans="1:12" x14ac:dyDescent="0.25">
      <c r="A85" s="17" t="s">
        <v>143</v>
      </c>
      <c r="B85" s="143" t="s">
        <v>557</v>
      </c>
      <c r="C85" s="144"/>
      <c r="D85" s="158"/>
      <c r="E85" s="43">
        <v>440.82</v>
      </c>
      <c r="F85" s="159"/>
      <c r="G85" s="160"/>
      <c r="H85" s="160"/>
      <c r="I85" s="160"/>
      <c r="J85" s="160"/>
      <c r="K85" s="161"/>
      <c r="L85" s="23" t="s">
        <v>71</v>
      </c>
    </row>
    <row r="86" spans="1:12" x14ac:dyDescent="0.25">
      <c r="A86" s="17" t="s">
        <v>144</v>
      </c>
      <c r="B86" s="143" t="s">
        <v>145</v>
      </c>
      <c r="C86" s="144"/>
      <c r="D86" s="158"/>
      <c r="E86" s="43">
        <v>420.63</v>
      </c>
      <c r="F86" s="159"/>
      <c r="G86" s="160"/>
      <c r="H86" s="160"/>
      <c r="I86" s="160"/>
      <c r="J86" s="160"/>
      <c r="K86" s="161"/>
      <c r="L86" s="23" t="s">
        <v>71</v>
      </c>
    </row>
    <row r="87" spans="1:12" x14ac:dyDescent="0.25">
      <c r="A87" s="17" t="s">
        <v>146</v>
      </c>
      <c r="B87" s="143" t="s">
        <v>558</v>
      </c>
      <c r="C87" s="144"/>
      <c r="D87" s="158"/>
      <c r="E87" s="43">
        <v>2597.04</v>
      </c>
      <c r="F87" s="159"/>
      <c r="G87" s="160"/>
      <c r="H87" s="160"/>
      <c r="I87" s="160"/>
      <c r="J87" s="160"/>
      <c r="K87" s="161"/>
      <c r="L87" s="23" t="s">
        <v>71</v>
      </c>
    </row>
    <row r="88" spans="1:12" x14ac:dyDescent="0.25">
      <c r="A88" s="17" t="s">
        <v>147</v>
      </c>
      <c r="B88" s="143" t="s">
        <v>148</v>
      </c>
      <c r="C88" s="144"/>
      <c r="D88" s="158"/>
      <c r="E88" s="43">
        <v>2417.12</v>
      </c>
      <c r="F88" s="159"/>
      <c r="G88" s="160"/>
      <c r="H88" s="160"/>
      <c r="I88" s="160"/>
      <c r="J88" s="160"/>
      <c r="K88" s="161"/>
      <c r="L88" s="23" t="s">
        <v>71</v>
      </c>
    </row>
    <row r="89" spans="1:12" x14ac:dyDescent="0.25">
      <c r="A89" s="17" t="s">
        <v>91</v>
      </c>
      <c r="B89" s="143" t="s">
        <v>525</v>
      </c>
      <c r="C89" s="144"/>
      <c r="D89" s="158"/>
      <c r="E89" s="43">
        <v>1875.03</v>
      </c>
      <c r="F89" s="159"/>
      <c r="G89" s="160"/>
      <c r="H89" s="160"/>
      <c r="I89" s="160"/>
      <c r="J89" s="160"/>
      <c r="K89" s="161"/>
      <c r="L89" s="17" t="s">
        <v>71</v>
      </c>
    </row>
    <row r="90" spans="1:12" x14ac:dyDescent="0.25">
      <c r="A90" s="17" t="s">
        <v>149</v>
      </c>
      <c r="B90" s="143" t="s">
        <v>150</v>
      </c>
      <c r="C90" s="144"/>
      <c r="D90" s="158"/>
      <c r="E90" s="43">
        <v>486.18</v>
      </c>
      <c r="F90" s="159"/>
      <c r="G90" s="160"/>
      <c r="H90" s="160"/>
      <c r="I90" s="160"/>
      <c r="J90" s="160"/>
      <c r="K90" s="161"/>
      <c r="L90" s="17" t="s">
        <v>71</v>
      </c>
    </row>
    <row r="91" spans="1:12" x14ac:dyDescent="0.25">
      <c r="A91" s="17" t="s">
        <v>151</v>
      </c>
      <c r="B91" s="143" t="s">
        <v>559</v>
      </c>
      <c r="C91" s="144"/>
      <c r="D91" s="158"/>
      <c r="E91" s="43">
        <v>705.6</v>
      </c>
      <c r="F91" s="159"/>
      <c r="G91" s="160"/>
      <c r="H91" s="160"/>
      <c r="I91" s="160"/>
      <c r="J91" s="160"/>
      <c r="K91" s="161"/>
      <c r="L91" s="17" t="s">
        <v>71</v>
      </c>
    </row>
    <row r="92" spans="1:12" x14ac:dyDescent="0.25">
      <c r="A92" s="17" t="s">
        <v>155</v>
      </c>
      <c r="B92" s="143" t="s">
        <v>560</v>
      </c>
      <c r="C92" s="144"/>
      <c r="D92" s="158"/>
      <c r="E92" s="43">
        <v>539.83000000000004</v>
      </c>
      <c r="F92" s="159"/>
      <c r="G92" s="160"/>
      <c r="H92" s="160"/>
      <c r="I92" s="160"/>
      <c r="J92" s="160"/>
      <c r="K92" s="161"/>
      <c r="L92" s="17" t="s">
        <v>71</v>
      </c>
    </row>
    <row r="93" spans="1:12" x14ac:dyDescent="0.25">
      <c r="A93" s="17" t="s">
        <v>156</v>
      </c>
      <c r="B93" s="143" t="s">
        <v>157</v>
      </c>
      <c r="C93" s="144"/>
      <c r="D93" s="158"/>
      <c r="E93" s="43">
        <v>4233.82</v>
      </c>
      <c r="F93" s="159"/>
      <c r="G93" s="160"/>
      <c r="H93" s="160"/>
      <c r="I93" s="160"/>
      <c r="J93" s="160"/>
      <c r="K93" s="161"/>
      <c r="L93" s="17" t="s">
        <v>71</v>
      </c>
    </row>
    <row r="94" spans="1:12" x14ac:dyDescent="0.25">
      <c r="A94" s="17" t="s">
        <v>160</v>
      </c>
      <c r="B94" s="143" t="s">
        <v>561</v>
      </c>
      <c r="C94" s="144"/>
      <c r="D94" s="158"/>
      <c r="E94" s="43">
        <v>2623.64</v>
      </c>
      <c r="F94" s="159"/>
      <c r="G94" s="160"/>
      <c r="H94" s="160"/>
      <c r="I94" s="160"/>
      <c r="J94" s="160"/>
      <c r="K94" s="161"/>
      <c r="L94" s="17" t="s">
        <v>71</v>
      </c>
    </row>
    <row r="95" spans="1:12" ht="16.5" thickBot="1" x14ac:dyDescent="0.3">
      <c r="A95" s="26"/>
      <c r="B95" s="149"/>
      <c r="C95" s="150"/>
      <c r="D95" s="169"/>
      <c r="E95" s="45"/>
      <c r="F95" s="170"/>
      <c r="G95" s="171"/>
      <c r="H95" s="171"/>
      <c r="I95" s="171"/>
      <c r="J95" s="171"/>
      <c r="K95" s="172"/>
      <c r="L95" s="26"/>
    </row>
    <row r="96" spans="1:12" x14ac:dyDescent="0.25">
      <c r="A96" s="68"/>
      <c r="B96" s="69"/>
      <c r="C96" s="46"/>
      <c r="D96" s="46"/>
      <c r="F96" s="47"/>
      <c r="G96" s="47"/>
      <c r="H96" s="47"/>
      <c r="I96" s="47"/>
      <c r="J96" s="47"/>
      <c r="K96" s="47"/>
    </row>
    <row r="97" spans="2:11" x14ac:dyDescent="0.25">
      <c r="B97" s="176" t="s">
        <v>464</v>
      </c>
      <c r="C97" s="176"/>
      <c r="D97" s="176"/>
      <c r="E97" s="6">
        <f>SUM(E39:E47)</f>
        <v>639.46</v>
      </c>
      <c r="F97" s="6"/>
      <c r="G97" s="6"/>
      <c r="H97" s="6"/>
      <c r="I97" s="6"/>
      <c r="J97" s="6"/>
      <c r="K97" s="6"/>
    </row>
    <row r="98" spans="2:11" x14ac:dyDescent="0.25">
      <c r="B98" s="176" t="s">
        <v>465</v>
      </c>
      <c r="C98" s="176"/>
      <c r="D98" s="176"/>
      <c r="E98" s="6">
        <f>SUM(E20:E37)</f>
        <v>1300.58</v>
      </c>
    </row>
    <row r="99" spans="2:11" x14ac:dyDescent="0.25">
      <c r="B99" s="176" t="s">
        <v>466</v>
      </c>
      <c r="C99" s="176"/>
      <c r="D99" s="176"/>
      <c r="E99" s="6">
        <f>SUM(E49:E71)</f>
        <v>26674.639999999996</v>
      </c>
    </row>
    <row r="104" spans="2:11" ht="18.75" x14ac:dyDescent="0.3">
      <c r="B104" s="48"/>
    </row>
  </sheetData>
  <mergeCells count="151">
    <mergeCell ref="B90:D90"/>
    <mergeCell ref="F90:K90"/>
    <mergeCell ref="B95:D95"/>
    <mergeCell ref="F95:K95"/>
    <mergeCell ref="B97:D97"/>
    <mergeCell ref="B98:D98"/>
    <mergeCell ref="B99:D99"/>
    <mergeCell ref="B91:D91"/>
    <mergeCell ref="F91:K91"/>
    <mergeCell ref="B92:D92"/>
    <mergeCell ref="F92:K92"/>
    <mergeCell ref="B93:D93"/>
    <mergeCell ref="F93:K93"/>
    <mergeCell ref="B94:D94"/>
    <mergeCell ref="F94:K94"/>
    <mergeCell ref="B87:D87"/>
    <mergeCell ref="F87:K87"/>
    <mergeCell ref="B88:D88"/>
    <mergeCell ref="F88:K88"/>
    <mergeCell ref="B89:D89"/>
    <mergeCell ref="F89:K89"/>
    <mergeCell ref="B81:D81"/>
    <mergeCell ref="F81:K81"/>
    <mergeCell ref="B85:D85"/>
    <mergeCell ref="F85:K85"/>
    <mergeCell ref="B86:D86"/>
    <mergeCell ref="F86:K86"/>
    <mergeCell ref="B82:D82"/>
    <mergeCell ref="F82:K82"/>
    <mergeCell ref="B83:D83"/>
    <mergeCell ref="F83:K83"/>
    <mergeCell ref="B84:D84"/>
    <mergeCell ref="F84:K84"/>
    <mergeCell ref="B78:D78"/>
    <mergeCell ref="F78:K78"/>
    <mergeCell ref="B79:D79"/>
    <mergeCell ref="F79:K79"/>
    <mergeCell ref="B80:D80"/>
    <mergeCell ref="F80:K80"/>
    <mergeCell ref="B75:D75"/>
    <mergeCell ref="F75:K75"/>
    <mergeCell ref="B76:D76"/>
    <mergeCell ref="F76:K76"/>
    <mergeCell ref="B77:D77"/>
    <mergeCell ref="F77:K77"/>
    <mergeCell ref="B72:D72"/>
    <mergeCell ref="F72:K72"/>
    <mergeCell ref="B73:D73"/>
    <mergeCell ref="F73:K73"/>
    <mergeCell ref="B74:D74"/>
    <mergeCell ref="F74:K74"/>
    <mergeCell ref="B69:D69"/>
    <mergeCell ref="F69:K69"/>
    <mergeCell ref="B70:D70"/>
    <mergeCell ref="F70:K70"/>
    <mergeCell ref="B71:D71"/>
    <mergeCell ref="F71:K71"/>
    <mergeCell ref="B66:D66"/>
    <mergeCell ref="F66:K66"/>
    <mergeCell ref="B67:D67"/>
    <mergeCell ref="F67:K67"/>
    <mergeCell ref="B68:D68"/>
    <mergeCell ref="F68:K68"/>
    <mergeCell ref="B46:D46"/>
    <mergeCell ref="F46:K46"/>
    <mergeCell ref="B47:D47"/>
    <mergeCell ref="F47:K47"/>
    <mergeCell ref="B65:D65"/>
    <mergeCell ref="F65:K65"/>
    <mergeCell ref="B64:D64"/>
    <mergeCell ref="F64:K64"/>
    <mergeCell ref="B48:D48"/>
    <mergeCell ref="F48:K48"/>
    <mergeCell ref="B49:D49"/>
    <mergeCell ref="F49:K49"/>
    <mergeCell ref="B43:D43"/>
    <mergeCell ref="F43:K43"/>
    <mergeCell ref="B44:D44"/>
    <mergeCell ref="F44:K44"/>
    <mergeCell ref="B45:D45"/>
    <mergeCell ref="F45:K45"/>
    <mergeCell ref="B40:D40"/>
    <mergeCell ref="F40:K40"/>
    <mergeCell ref="B41:D41"/>
    <mergeCell ref="F41:K41"/>
    <mergeCell ref="B42:D42"/>
    <mergeCell ref="F42:K42"/>
    <mergeCell ref="B37:D37"/>
    <mergeCell ref="H37:K37"/>
    <mergeCell ref="B38:D38"/>
    <mergeCell ref="B39:D39"/>
    <mergeCell ref="F39:K39"/>
    <mergeCell ref="B34:D34"/>
    <mergeCell ref="H34:K34"/>
    <mergeCell ref="B35:D35"/>
    <mergeCell ref="H35:K35"/>
    <mergeCell ref="B36:D36"/>
    <mergeCell ref="H36:K36"/>
    <mergeCell ref="F38:K38"/>
    <mergeCell ref="B31:D31"/>
    <mergeCell ref="H31:K31"/>
    <mergeCell ref="B32:D32"/>
    <mergeCell ref="H32:K32"/>
    <mergeCell ref="B33:D33"/>
    <mergeCell ref="H33:K33"/>
    <mergeCell ref="B28:D28"/>
    <mergeCell ref="H28:K28"/>
    <mergeCell ref="B29:D29"/>
    <mergeCell ref="H29:K29"/>
    <mergeCell ref="B30:D30"/>
    <mergeCell ref="H30:K30"/>
    <mergeCell ref="B25:D25"/>
    <mergeCell ref="H25:K25"/>
    <mergeCell ref="B26:D26"/>
    <mergeCell ref="H26:K26"/>
    <mergeCell ref="B27:D27"/>
    <mergeCell ref="H27:K27"/>
    <mergeCell ref="B22:D22"/>
    <mergeCell ref="H22:K22"/>
    <mergeCell ref="B23:D23"/>
    <mergeCell ref="H23:K23"/>
    <mergeCell ref="B24:D24"/>
    <mergeCell ref="H24:K24"/>
    <mergeCell ref="B20:D20"/>
    <mergeCell ref="H20:K20"/>
    <mergeCell ref="B21:D21"/>
    <mergeCell ref="H21:K21"/>
    <mergeCell ref="I9:K9"/>
    <mergeCell ref="I10:K10"/>
    <mergeCell ref="I11:K11"/>
    <mergeCell ref="I12:K12"/>
    <mergeCell ref="I13:K13"/>
    <mergeCell ref="I15:K15"/>
    <mergeCell ref="I14:K14"/>
    <mergeCell ref="B19:D19"/>
    <mergeCell ref="H19:K19"/>
    <mergeCell ref="A18:L18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</mergeCells>
  <conditionalFormatting sqref="A18:A19 B85:XFD101">
    <cfRule type="cellIs" dxfId="604" priority="1" stopIfTrue="1" operator="equal">
      <formula>"OK"</formula>
    </cfRule>
  </conditionalFormatting>
  <conditionalFormatting sqref="A102:XFD1048576">
    <cfRule type="cellIs" dxfId="603" priority="13" stopIfTrue="1" operator="equal">
      <formula>"OK"</formula>
    </cfRule>
  </conditionalFormatting>
  <conditionalFormatting sqref="B49:B66 B20:H37">
    <cfRule type="expression" dxfId="602" priority="20">
      <formula>$J20="ancien paiement"</formula>
    </cfRule>
  </conditionalFormatting>
  <conditionalFormatting sqref="B74:B76 E74:F76 B81:D81 E81:F82 B82 B83:XFD83 B84 E84:F84 B19:H37 B38:XFD47 B77:XFD80 B72:XFD73 B1:J1 M1:XFD1 A2:XFD2 E3 G3:I3 M3:XFD3 B3:D6 K4 P4:XFD7 K5:L7 B7:I7 B8:D8 F8 I8 M8:XFD8 L9:XFD16 A17:XFD17 M18:XFD18 L19:XFD37 M48:XFD71 L74:XFD76 L81:XFD82 L84:XFD84">
    <cfRule type="cellIs" dxfId="601" priority="22" stopIfTrue="1" operator="equal">
      <formula>"OK"</formula>
    </cfRule>
  </conditionalFormatting>
  <conditionalFormatting sqref="B9:I16">
    <cfRule type="cellIs" dxfId="600" priority="11" stopIfTrue="1" operator="equal">
      <formula>"OK"</formula>
    </cfRule>
  </conditionalFormatting>
  <conditionalFormatting sqref="B39:K39">
    <cfRule type="expression" dxfId="599" priority="18">
      <formula>$J39="ancien paiement"</formula>
    </cfRule>
  </conditionalFormatting>
  <conditionalFormatting sqref="B39:K48 B49:B66">
    <cfRule type="expression" dxfId="598" priority="5">
      <formula>$F39="ancien paiement"</formula>
    </cfRule>
  </conditionalFormatting>
  <conditionalFormatting sqref="B41:K48">
    <cfRule type="expression" dxfId="597" priority="6">
      <formula>$J41="ancien paiement"</formula>
    </cfRule>
  </conditionalFormatting>
  <conditionalFormatting sqref="B68:K73">
    <cfRule type="expression" dxfId="596" priority="7">
      <formula>$F68="ancien paiement"</formula>
    </cfRule>
    <cfRule type="expression" dxfId="595" priority="8">
      <formula>$J68="ancien paiement"</formula>
    </cfRule>
  </conditionalFormatting>
  <conditionalFormatting sqref="B77:K78">
    <cfRule type="expression" dxfId="594" priority="16">
      <formula>$F77="ancien paiement"</formula>
    </cfRule>
    <cfRule type="expression" dxfId="593" priority="17">
      <formula>$J77="ancien paiement"</formula>
    </cfRule>
  </conditionalFormatting>
  <conditionalFormatting sqref="B80:K80">
    <cfRule type="expression" dxfId="592" priority="14">
      <formula>$F80="ancien paiement"</formula>
    </cfRule>
    <cfRule type="expression" dxfId="591" priority="15">
      <formula>$J80="ancien paiement"</formula>
    </cfRule>
  </conditionalFormatting>
  <conditionalFormatting sqref="B85:K95 B74:B76 E74:F76 B81:D81 E81:F82 B82 B83:K83 B84 E84:F84">
    <cfRule type="expression" dxfId="590" priority="19">
      <formula>$F74="ancien paiement"</formula>
    </cfRule>
    <cfRule type="expression" dxfId="589" priority="21">
      <formula>$J74="ancien paiement"</formula>
    </cfRule>
  </conditionalFormatting>
  <conditionalFormatting sqref="B65:L71 B48:L63 B64:D64">
    <cfRule type="cellIs" dxfId="588" priority="9" stopIfTrue="1" operator="equal">
      <formula>"OK"</formula>
    </cfRule>
  </conditionalFormatting>
  <conditionalFormatting sqref="E49:E63">
    <cfRule type="expression" dxfId="587" priority="10">
      <formula>#REF!="ancien paiement"</formula>
    </cfRule>
  </conditionalFormatting>
  <conditionalFormatting sqref="E49:F66">
    <cfRule type="expression" dxfId="586" priority="2">
      <formula>$F49="ancien paiement"</formula>
    </cfRule>
    <cfRule type="expression" dxfId="585" priority="3">
      <formula>$J49="ancien paiement"</formula>
    </cfRule>
  </conditionalFormatting>
  <conditionalFormatting sqref="E4:I6">
    <cfRule type="cellIs" dxfId="584" priority="12" stopIfTrue="1" operator="equal">
      <formula>"OK"</formula>
    </cfRule>
  </conditionalFormatting>
  <conditionalFormatting sqref="E64:L64">
    <cfRule type="cellIs" dxfId="583" priority="4" stopIfTrue="1" operator="equal">
      <formula>"OK"</formula>
    </cfRule>
  </conditionalFormatting>
  <pageMargins left="0.7" right="0.7" top="0.75" bottom="0.75" header="0.3" footer="0.3"/>
  <pageSetup paperSize="9" scale="46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108"/>
  <sheetViews>
    <sheetView topLeftCell="A16" zoomScaleNormal="100" workbookViewId="0">
      <selection activeCell="G5" sqref="G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4.42578125" style="1" customWidth="1"/>
    <col min="13" max="16384" width="11.42578125" style="1"/>
  </cols>
  <sheetData>
    <row r="1" spans="2:14" x14ac:dyDescent="0.25">
      <c r="G1" s="1" t="s">
        <v>562</v>
      </c>
      <c r="I1" s="2" t="s">
        <v>0</v>
      </c>
      <c r="J1" s="105">
        <v>46116</v>
      </c>
      <c r="K1" s="105"/>
      <c r="L1" s="105"/>
    </row>
    <row r="2" spans="2:14" ht="16.5" thickBot="1" x14ac:dyDescent="0.3">
      <c r="G2" s="1" t="s">
        <v>563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564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13470</v>
      </c>
      <c r="G4" s="1" t="s">
        <v>565</v>
      </c>
      <c r="I4" s="112" t="s">
        <v>3</v>
      </c>
      <c r="J4" s="113"/>
      <c r="K4" s="114">
        <f>E80+C14</f>
        <v>13470</v>
      </c>
      <c r="L4" s="115"/>
      <c r="N4" s="6"/>
    </row>
    <row r="5" spans="2:14" ht="16.5" thickBot="1" x14ac:dyDescent="0.3">
      <c r="E5" s="7" t="s">
        <v>4</v>
      </c>
      <c r="F5" s="8">
        <v>1608.59</v>
      </c>
      <c r="G5" s="1" t="s">
        <v>566</v>
      </c>
      <c r="I5" s="95" t="s">
        <v>5</v>
      </c>
      <c r="J5" s="96"/>
      <c r="K5" s="97">
        <f>E15+E81</f>
        <v>1608.5900000000001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25778.66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6500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4220</v>
      </c>
      <c r="D10" s="19" t="s">
        <v>567</v>
      </c>
      <c r="E10" s="49">
        <v>549.44000000000005</v>
      </c>
      <c r="F10" s="20" t="s">
        <v>9</v>
      </c>
      <c r="G10" s="21">
        <v>25778.66</v>
      </c>
      <c r="H10" s="6"/>
      <c r="I10" s="137" t="s">
        <v>568</v>
      </c>
      <c r="J10" s="138"/>
      <c r="K10" s="139"/>
      <c r="L10" s="21">
        <v>80</v>
      </c>
    </row>
    <row r="11" spans="2:14" ht="21.6" customHeight="1" x14ac:dyDescent="0.25">
      <c r="B11" s="17" t="s">
        <v>453</v>
      </c>
      <c r="C11" s="18">
        <v>2540</v>
      </c>
      <c r="D11" s="22" t="s">
        <v>569</v>
      </c>
      <c r="E11" s="50">
        <v>531.41999999999996</v>
      </c>
      <c r="F11" s="23" t="s">
        <v>454</v>
      </c>
      <c r="G11" s="24"/>
      <c r="H11" s="6"/>
      <c r="I11" s="140" t="s">
        <v>570</v>
      </c>
      <c r="J11" s="141"/>
      <c r="K11" s="142"/>
      <c r="L11" s="21">
        <v>80</v>
      </c>
    </row>
    <row r="12" spans="2:14" ht="21.6" customHeight="1" x14ac:dyDescent="0.25">
      <c r="B12" s="17" t="s">
        <v>455</v>
      </c>
      <c r="C12" s="18">
        <v>210</v>
      </c>
      <c r="D12" s="22" t="s">
        <v>162</v>
      </c>
      <c r="E12" s="50">
        <v>527.73</v>
      </c>
      <c r="F12" s="23"/>
      <c r="G12" s="24"/>
      <c r="H12" s="6"/>
      <c r="I12" s="140" t="s">
        <v>571</v>
      </c>
      <c r="J12" s="141"/>
      <c r="K12" s="142"/>
      <c r="L12" s="24">
        <v>250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13470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596</v>
      </c>
      <c r="D15" s="28" t="s">
        <v>11</v>
      </c>
      <c r="E15" s="29">
        <f>SUM(E10:E14)</f>
        <v>1608.5900000000001</v>
      </c>
      <c r="F15" s="30" t="s">
        <v>11</v>
      </c>
      <c r="G15" s="31">
        <f>SUM(G10:G14)</f>
        <v>25778.66</v>
      </c>
      <c r="H15" s="6"/>
      <c r="I15" s="116" t="s">
        <v>457</v>
      </c>
      <c r="J15" s="117"/>
      <c r="K15" s="118"/>
      <c r="L15" s="32">
        <f>C15-'3'!C15</f>
        <v>596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-1006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8" s="1" customFormat="1" x14ac:dyDescent="0.25"/>
  </sheetData>
  <mergeCells count="145">
    <mergeCell ref="B82:D82"/>
    <mergeCell ref="B75:D75"/>
    <mergeCell ref="F75:K75"/>
    <mergeCell ref="B72:D72"/>
    <mergeCell ref="F72:K72"/>
    <mergeCell ref="B76:D76"/>
    <mergeCell ref="F76:K76"/>
    <mergeCell ref="B77:D77"/>
    <mergeCell ref="F77:K77"/>
    <mergeCell ref="B78:D78"/>
    <mergeCell ref="F78:K78"/>
    <mergeCell ref="B80:D80"/>
    <mergeCell ref="B81:D81"/>
    <mergeCell ref="B71:D71"/>
    <mergeCell ref="F71:K71"/>
    <mergeCell ref="B69:D69"/>
    <mergeCell ref="F69:K69"/>
    <mergeCell ref="B70:D70"/>
    <mergeCell ref="F70:K70"/>
    <mergeCell ref="B73:D73"/>
    <mergeCell ref="F73:K73"/>
    <mergeCell ref="B74:D74"/>
    <mergeCell ref="F74:K74"/>
    <mergeCell ref="B62:D62"/>
    <mergeCell ref="F62:K62"/>
    <mergeCell ref="B63:D63"/>
    <mergeCell ref="B64:D64"/>
    <mergeCell ref="F63:K63"/>
    <mergeCell ref="B67:D67"/>
    <mergeCell ref="F67:K67"/>
    <mergeCell ref="B68:D68"/>
    <mergeCell ref="F68:K68"/>
    <mergeCell ref="B65:D65"/>
    <mergeCell ref="F65:K65"/>
    <mergeCell ref="B66:D66"/>
    <mergeCell ref="F66:K66"/>
    <mergeCell ref="F64:K64"/>
    <mergeCell ref="B59:D59"/>
    <mergeCell ref="F59:K59"/>
    <mergeCell ref="B60:D60"/>
    <mergeCell ref="F60:K60"/>
    <mergeCell ref="B61:D61"/>
    <mergeCell ref="F61:K61"/>
    <mergeCell ref="B56:D56"/>
    <mergeCell ref="F56:K56"/>
    <mergeCell ref="B57:D57"/>
    <mergeCell ref="F57:K57"/>
    <mergeCell ref="B58:D58"/>
    <mergeCell ref="F58:K58"/>
    <mergeCell ref="B50:D50"/>
    <mergeCell ref="F50:K50"/>
    <mergeCell ref="B51:D51"/>
    <mergeCell ref="F51:K51"/>
    <mergeCell ref="B55:D55"/>
    <mergeCell ref="F55:K55"/>
    <mergeCell ref="B44:D44"/>
    <mergeCell ref="F44:K44"/>
    <mergeCell ref="B45:D45"/>
    <mergeCell ref="F45:K45"/>
    <mergeCell ref="B46:D46"/>
    <mergeCell ref="F46:K46"/>
    <mergeCell ref="B47:D47"/>
    <mergeCell ref="B48:D48"/>
    <mergeCell ref="F47:K47"/>
    <mergeCell ref="F48:K48"/>
    <mergeCell ref="B49:D49"/>
    <mergeCell ref="F49:K49"/>
    <mergeCell ref="B52:D52"/>
    <mergeCell ref="F52:K52"/>
    <mergeCell ref="B53:D53"/>
    <mergeCell ref="F53:K53"/>
    <mergeCell ref="B54:D54"/>
    <mergeCell ref="F54:K54"/>
    <mergeCell ref="B41:D41"/>
    <mergeCell ref="F41:K41"/>
    <mergeCell ref="B42:D42"/>
    <mergeCell ref="F42:K42"/>
    <mergeCell ref="B43:D43"/>
    <mergeCell ref="F43:K43"/>
    <mergeCell ref="B39:D39"/>
    <mergeCell ref="F39:K39"/>
    <mergeCell ref="B40:D40"/>
    <mergeCell ref="F40:K40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0:D30"/>
    <mergeCell ref="H30:K30"/>
    <mergeCell ref="B31:D31"/>
    <mergeCell ref="H31:K31"/>
    <mergeCell ref="B32:D32"/>
    <mergeCell ref="J1:L1"/>
    <mergeCell ref="E3:F3"/>
    <mergeCell ref="I3:L3"/>
    <mergeCell ref="I4:J4"/>
    <mergeCell ref="K4:L4"/>
    <mergeCell ref="I5:J5"/>
    <mergeCell ref="K5:L5"/>
    <mergeCell ref="I15:K15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8:C8"/>
    <mergeCell ref="D8:E8"/>
    <mergeCell ref="F8:G8"/>
    <mergeCell ref="A18:L18"/>
    <mergeCell ref="B19:D19"/>
    <mergeCell ref="H19:K19"/>
    <mergeCell ref="B20:D20"/>
    <mergeCell ref="H20:K20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</mergeCells>
  <conditionalFormatting sqref="A18:A19">
    <cfRule type="cellIs" dxfId="582" priority="1" stopIfTrue="1" operator="equal">
      <formula>"OK"</formula>
    </cfRule>
  </conditionalFormatting>
  <conditionalFormatting sqref="A85:XFD1048576">
    <cfRule type="cellIs" dxfId="581" priority="13" stopIfTrue="1" operator="equal">
      <formula>"OK"</formula>
    </cfRule>
  </conditionalFormatting>
  <conditionalFormatting sqref="B49:B52 B20:H37">
    <cfRule type="expression" dxfId="580" priority="20">
      <formula>$J20="ancien paiement"</formula>
    </cfRule>
  </conditionalFormatting>
  <conditionalFormatting sqref="B60:B62 E60:F62 B67:D67 E67:F68 B68 B69:K69 B70 E70:F70 B71:K78">
    <cfRule type="expression" dxfId="579" priority="19">
      <formula>$F60="ancien paiement"</formula>
    </cfRule>
    <cfRule type="expression" dxfId="578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577" priority="22" stopIfTrue="1" operator="equal">
      <formula>"OK"</formula>
    </cfRule>
  </conditionalFormatting>
  <conditionalFormatting sqref="B9:I16">
    <cfRule type="cellIs" dxfId="576" priority="11" stopIfTrue="1" operator="equal">
      <formula>"OK"</formula>
    </cfRule>
  </conditionalFormatting>
  <conditionalFormatting sqref="B39:K39">
    <cfRule type="expression" dxfId="575" priority="18">
      <formula>$J39="ancien paiement"</formula>
    </cfRule>
  </conditionalFormatting>
  <conditionalFormatting sqref="B39:K48 B49:B52">
    <cfRule type="expression" dxfId="574" priority="5">
      <formula>$F39="ancien paiement"</formula>
    </cfRule>
  </conditionalFormatting>
  <conditionalFormatting sqref="B41:K48">
    <cfRule type="expression" dxfId="573" priority="6">
      <formula>$J41="ancien paiement"</formula>
    </cfRule>
  </conditionalFormatting>
  <conditionalFormatting sqref="B54:K59">
    <cfRule type="expression" dxfId="572" priority="7">
      <formula>$F54="ancien paiement"</formula>
    </cfRule>
    <cfRule type="expression" dxfId="571" priority="8">
      <formula>$J54="ancien paiement"</formula>
    </cfRule>
  </conditionalFormatting>
  <conditionalFormatting sqref="B63:K64">
    <cfRule type="expression" dxfId="570" priority="16">
      <formula>$F63="ancien paiement"</formula>
    </cfRule>
    <cfRule type="expression" dxfId="569" priority="17">
      <formula>$J63="ancien paiement"</formula>
    </cfRule>
  </conditionalFormatting>
  <conditionalFormatting sqref="B66:K66">
    <cfRule type="expression" dxfId="568" priority="14">
      <formula>$F66="ancien paiement"</formula>
    </cfRule>
    <cfRule type="expression" dxfId="567" priority="15">
      <formula>$J66="ancien paiement"</formula>
    </cfRule>
  </conditionalFormatting>
  <conditionalFormatting sqref="B51:L57 B48:L49 B50:D50">
    <cfRule type="cellIs" dxfId="566" priority="9" stopIfTrue="1" operator="equal">
      <formula>"OK"</formula>
    </cfRule>
  </conditionalFormatting>
  <conditionalFormatting sqref="E49">
    <cfRule type="expression" dxfId="565" priority="10">
      <formula>#REF!="ancien paiement"</formula>
    </cfRule>
  </conditionalFormatting>
  <conditionalFormatting sqref="E49:F52">
    <cfRule type="expression" dxfId="564" priority="2">
      <formula>$F49="ancien paiement"</formula>
    </cfRule>
    <cfRule type="expression" dxfId="563" priority="3">
      <formula>$J49="ancien paiement"</formula>
    </cfRule>
  </conditionalFormatting>
  <conditionalFormatting sqref="E4:I6">
    <cfRule type="cellIs" dxfId="562" priority="12" stopIfTrue="1" operator="equal">
      <formula>"OK"</formula>
    </cfRule>
  </conditionalFormatting>
  <conditionalFormatting sqref="E50:L50">
    <cfRule type="cellIs" dxfId="561" priority="4" stopIfTrue="1" operator="equal">
      <formula>"OK"</formula>
    </cfRule>
  </conditionalFormatting>
  <pageMargins left="0.7" right="0.7" top="0.75" bottom="0.75" header="0.3" footer="0.3"/>
  <pageSetup paperSize="9" scale="47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N108"/>
  <sheetViews>
    <sheetView topLeftCell="A3" workbookViewId="0">
      <selection activeCell="J2" sqref="J2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46117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/>
      <c r="I4" s="112" t="s">
        <v>3</v>
      </c>
      <c r="J4" s="113"/>
      <c r="K4" s="114">
        <f>E80+C14</f>
        <v>0</v>
      </c>
      <c r="L4" s="115"/>
      <c r="N4" s="6"/>
    </row>
    <row r="5" spans="2:14" ht="16.5" thickBot="1" x14ac:dyDescent="0.3">
      <c r="E5" s="7" t="s">
        <v>4</v>
      </c>
      <c r="F5" s="8"/>
      <c r="I5" s="95" t="s">
        <v>5</v>
      </c>
      <c r="J5" s="96"/>
      <c r="K5" s="97">
        <f>E15+E81</f>
        <v>0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0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/>
      <c r="D10" s="19"/>
      <c r="E10" s="49"/>
      <c r="F10" s="20" t="s">
        <v>9</v>
      </c>
      <c r="G10" s="21"/>
      <c r="H10" s="6"/>
      <c r="I10" s="137"/>
      <c r="J10" s="138"/>
      <c r="K10" s="139"/>
      <c r="L10" s="21"/>
    </row>
    <row r="11" spans="2:14" ht="21.6" customHeight="1" x14ac:dyDescent="0.25">
      <c r="B11" s="17" t="s">
        <v>453</v>
      </c>
      <c r="C11" s="18"/>
      <c r="D11" s="22"/>
      <c r="E11" s="50"/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/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/>
      <c r="D15" s="28" t="s">
        <v>11</v>
      </c>
      <c r="E15" s="29">
        <f>SUM(E10:E14)</f>
        <v>0</v>
      </c>
      <c r="F15" s="30" t="s">
        <v>11</v>
      </c>
      <c r="G15" s="31">
        <f>SUM(G10:G14)</f>
        <v>0</v>
      </c>
      <c r="H15" s="6"/>
      <c r="I15" s="116" t="s">
        <v>457</v>
      </c>
      <c r="J15" s="117"/>
      <c r="K15" s="118"/>
      <c r="L15" s="32">
        <f>C15-'4'!C15</f>
        <v>-596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596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8" s="1" customFormat="1" x14ac:dyDescent="0.25"/>
  </sheetData>
  <mergeCells count="145">
    <mergeCell ref="J1:L1"/>
    <mergeCell ref="E3:F3"/>
    <mergeCell ref="I3:L3"/>
    <mergeCell ref="I4:J4"/>
    <mergeCell ref="K4:L4"/>
    <mergeCell ref="I5:J5"/>
    <mergeCell ref="K5:L5"/>
    <mergeCell ref="I9:K9"/>
    <mergeCell ref="I10:K10"/>
    <mergeCell ref="I11:K11"/>
    <mergeCell ref="I12:K12"/>
    <mergeCell ref="I13:K13"/>
    <mergeCell ref="I14:K14"/>
    <mergeCell ref="A18:L18"/>
    <mergeCell ref="I6:J6"/>
    <mergeCell ref="K6:L6"/>
    <mergeCell ref="I7:J7"/>
    <mergeCell ref="K7:L7"/>
    <mergeCell ref="B8:C8"/>
    <mergeCell ref="D8:E8"/>
    <mergeCell ref="F8:G8"/>
    <mergeCell ref="B21:D21"/>
    <mergeCell ref="H21:K21"/>
    <mergeCell ref="B22:D22"/>
    <mergeCell ref="H22:K22"/>
    <mergeCell ref="B23:D23"/>
    <mergeCell ref="H23:K23"/>
    <mergeCell ref="I15:K15"/>
    <mergeCell ref="B19:D19"/>
    <mergeCell ref="H19:K19"/>
    <mergeCell ref="B20:D20"/>
    <mergeCell ref="H20:K20"/>
    <mergeCell ref="B27:D27"/>
    <mergeCell ref="H27:K27"/>
    <mergeCell ref="B28:D28"/>
    <mergeCell ref="H28:K28"/>
    <mergeCell ref="B29:D29"/>
    <mergeCell ref="H29:K29"/>
    <mergeCell ref="B24:D24"/>
    <mergeCell ref="H24:K24"/>
    <mergeCell ref="B25:D25"/>
    <mergeCell ref="H25:K25"/>
    <mergeCell ref="B26:D26"/>
    <mergeCell ref="H26:K26"/>
    <mergeCell ref="B33:D33"/>
    <mergeCell ref="H33:K33"/>
    <mergeCell ref="B34:D34"/>
    <mergeCell ref="H34:K34"/>
    <mergeCell ref="B35:D35"/>
    <mergeCell ref="H35:K35"/>
    <mergeCell ref="B30:D30"/>
    <mergeCell ref="H30:K30"/>
    <mergeCell ref="B31:D31"/>
    <mergeCell ref="H31:K31"/>
    <mergeCell ref="B32:D32"/>
    <mergeCell ref="H32:K32"/>
    <mergeCell ref="B39:D39"/>
    <mergeCell ref="F39:K39"/>
    <mergeCell ref="B40:D40"/>
    <mergeCell ref="F40:K40"/>
    <mergeCell ref="B41:D41"/>
    <mergeCell ref="F41:K41"/>
    <mergeCell ref="B36:D36"/>
    <mergeCell ref="H36:K36"/>
    <mergeCell ref="B37:D37"/>
    <mergeCell ref="H37:K37"/>
    <mergeCell ref="B38:D38"/>
    <mergeCell ref="F38:K38"/>
    <mergeCell ref="B45:D45"/>
    <mergeCell ref="F45:K45"/>
    <mergeCell ref="B47:D47"/>
    <mergeCell ref="F47:K47"/>
    <mergeCell ref="B48:D48"/>
    <mergeCell ref="F48:K48"/>
    <mergeCell ref="B46:D46"/>
    <mergeCell ref="F46:K46"/>
    <mergeCell ref="B42:D42"/>
    <mergeCell ref="F42:K42"/>
    <mergeCell ref="B43:D43"/>
    <mergeCell ref="F43:K43"/>
    <mergeCell ref="B44:D44"/>
    <mergeCell ref="F44:K44"/>
    <mergeCell ref="B52:D52"/>
    <mergeCell ref="F52:K52"/>
    <mergeCell ref="B53:D53"/>
    <mergeCell ref="F53:K53"/>
    <mergeCell ref="B54:D54"/>
    <mergeCell ref="F54:K54"/>
    <mergeCell ref="B49:D49"/>
    <mergeCell ref="F49:K49"/>
    <mergeCell ref="B50:D50"/>
    <mergeCell ref="F50:K50"/>
    <mergeCell ref="B51:D51"/>
    <mergeCell ref="F51:K51"/>
    <mergeCell ref="B58:D58"/>
    <mergeCell ref="F58:K58"/>
    <mergeCell ref="B59:D59"/>
    <mergeCell ref="F59:K59"/>
    <mergeCell ref="B60:D60"/>
    <mergeCell ref="F60:K60"/>
    <mergeCell ref="B55:D55"/>
    <mergeCell ref="F55:K55"/>
    <mergeCell ref="B56:D56"/>
    <mergeCell ref="F56:K56"/>
    <mergeCell ref="B57:D57"/>
    <mergeCell ref="F57:K57"/>
    <mergeCell ref="B64:D64"/>
    <mergeCell ref="F64:K64"/>
    <mergeCell ref="B66:D66"/>
    <mergeCell ref="F66:K66"/>
    <mergeCell ref="B67:D67"/>
    <mergeCell ref="F67:K67"/>
    <mergeCell ref="B65:D65"/>
    <mergeCell ref="F65:K65"/>
    <mergeCell ref="B61:D61"/>
    <mergeCell ref="F61:K61"/>
    <mergeCell ref="B62:D62"/>
    <mergeCell ref="F62:K62"/>
    <mergeCell ref="B63:D63"/>
    <mergeCell ref="F63:K63"/>
    <mergeCell ref="B71:D71"/>
    <mergeCell ref="F71:K71"/>
    <mergeCell ref="B72:D72"/>
    <mergeCell ref="F72:K72"/>
    <mergeCell ref="B73:D73"/>
    <mergeCell ref="F73:K73"/>
    <mergeCell ref="B68:D68"/>
    <mergeCell ref="F68:K68"/>
    <mergeCell ref="B69:D69"/>
    <mergeCell ref="F69:K69"/>
    <mergeCell ref="B70:D70"/>
    <mergeCell ref="F70:K70"/>
    <mergeCell ref="B81:D81"/>
    <mergeCell ref="B77:D77"/>
    <mergeCell ref="F77:K77"/>
    <mergeCell ref="B78:D78"/>
    <mergeCell ref="F78:K78"/>
    <mergeCell ref="B82:D82"/>
    <mergeCell ref="B80:D80"/>
    <mergeCell ref="B74:D74"/>
    <mergeCell ref="F74:K74"/>
    <mergeCell ref="B75:D75"/>
    <mergeCell ref="F75:K75"/>
    <mergeCell ref="B76:D76"/>
    <mergeCell ref="F76:K76"/>
  </mergeCells>
  <phoneticPr fontId="10" type="noConversion"/>
  <conditionalFormatting sqref="A18:A19">
    <cfRule type="cellIs" dxfId="560" priority="1" stopIfTrue="1" operator="equal">
      <formula>"OK"</formula>
    </cfRule>
  </conditionalFormatting>
  <conditionalFormatting sqref="A85:XFD1048576">
    <cfRule type="cellIs" dxfId="559" priority="13" stopIfTrue="1" operator="equal">
      <formula>"OK"</formula>
    </cfRule>
  </conditionalFormatting>
  <conditionalFormatting sqref="B49:B52 B20:H37">
    <cfRule type="expression" dxfId="558" priority="20">
      <formula>$J20="ancien paiement"</formula>
    </cfRule>
  </conditionalFormatting>
  <conditionalFormatting sqref="B60:B62 E60:F62 B67:D67 E67:F68 B68 B69:K69 B70 E70:F70 B71:K78">
    <cfRule type="expression" dxfId="557" priority="19">
      <formula>$F60="ancien paiement"</formula>
    </cfRule>
    <cfRule type="expression" dxfId="556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555" priority="22" stopIfTrue="1" operator="equal">
      <formula>"OK"</formula>
    </cfRule>
  </conditionalFormatting>
  <conditionalFormatting sqref="B9:I16">
    <cfRule type="cellIs" dxfId="554" priority="11" stopIfTrue="1" operator="equal">
      <formula>"OK"</formula>
    </cfRule>
  </conditionalFormatting>
  <conditionalFormatting sqref="B39:K39">
    <cfRule type="expression" dxfId="553" priority="18">
      <formula>$J39="ancien paiement"</formula>
    </cfRule>
  </conditionalFormatting>
  <conditionalFormatting sqref="B39:K48 B49:B52">
    <cfRule type="expression" dxfId="552" priority="5">
      <formula>$F39="ancien paiement"</formula>
    </cfRule>
  </conditionalFormatting>
  <conditionalFormatting sqref="B41:K48">
    <cfRule type="expression" dxfId="551" priority="6">
      <formula>$J41="ancien paiement"</formula>
    </cfRule>
  </conditionalFormatting>
  <conditionalFormatting sqref="B54:K59">
    <cfRule type="expression" dxfId="550" priority="7">
      <formula>$F54="ancien paiement"</formula>
    </cfRule>
    <cfRule type="expression" dxfId="549" priority="8">
      <formula>$J54="ancien paiement"</formula>
    </cfRule>
  </conditionalFormatting>
  <conditionalFormatting sqref="B63:K64">
    <cfRule type="expression" dxfId="548" priority="16">
      <formula>$F63="ancien paiement"</formula>
    </cfRule>
    <cfRule type="expression" dxfId="547" priority="17">
      <formula>$J63="ancien paiement"</formula>
    </cfRule>
  </conditionalFormatting>
  <conditionalFormatting sqref="B66:K66">
    <cfRule type="expression" dxfId="546" priority="14">
      <formula>$F66="ancien paiement"</formula>
    </cfRule>
    <cfRule type="expression" dxfId="545" priority="15">
      <formula>$J66="ancien paiement"</formula>
    </cfRule>
  </conditionalFormatting>
  <conditionalFormatting sqref="B51:L57 B48:L49 B50:D50">
    <cfRule type="cellIs" dxfId="544" priority="9" stopIfTrue="1" operator="equal">
      <formula>"OK"</formula>
    </cfRule>
  </conditionalFormatting>
  <conditionalFormatting sqref="E49">
    <cfRule type="expression" dxfId="543" priority="10">
      <formula>#REF!="ancien paiement"</formula>
    </cfRule>
  </conditionalFormatting>
  <conditionalFormatting sqref="E49:F52">
    <cfRule type="expression" dxfId="542" priority="2">
      <formula>$F49="ancien paiement"</formula>
    </cfRule>
    <cfRule type="expression" dxfId="541" priority="3">
      <formula>$J49="ancien paiement"</formula>
    </cfRule>
  </conditionalFormatting>
  <conditionalFormatting sqref="E4:I6">
    <cfRule type="cellIs" dxfId="540" priority="12" stopIfTrue="1" operator="equal">
      <formula>"OK"</formula>
    </cfRule>
  </conditionalFormatting>
  <conditionalFormatting sqref="E50:L50">
    <cfRule type="cellIs" dxfId="539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87"/>
  <sheetViews>
    <sheetView zoomScaleNormal="100" workbookViewId="0">
      <selection activeCell="I10" sqref="I10:L10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46118</v>
      </c>
      <c r="K1" s="105"/>
      <c r="L1" s="105"/>
    </row>
    <row r="2" spans="2:14" ht="16.5" thickBot="1" x14ac:dyDescent="0.3">
      <c r="G2" s="1" t="s">
        <v>572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573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10440</v>
      </c>
      <c r="G4" s="1" t="s">
        <v>574</v>
      </c>
      <c r="I4" s="112" t="s">
        <v>3</v>
      </c>
      <c r="J4" s="113"/>
      <c r="K4" s="114">
        <f>E80+C14</f>
        <v>10440</v>
      </c>
      <c r="L4" s="115"/>
      <c r="N4" s="6"/>
    </row>
    <row r="5" spans="2:14" ht="16.5" thickBot="1" x14ac:dyDescent="0.3">
      <c r="E5" s="7" t="s">
        <v>4</v>
      </c>
      <c r="F5" s="8">
        <v>1400.18</v>
      </c>
      <c r="G5" s="1" t="s">
        <v>575</v>
      </c>
      <c r="I5" s="95" t="s">
        <v>5</v>
      </c>
      <c r="J5" s="96"/>
      <c r="K5" s="97">
        <f>E15+E81</f>
        <v>1400.18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22371.77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3800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3580</v>
      </c>
      <c r="D10" s="19" t="s">
        <v>504</v>
      </c>
      <c r="E10" s="49">
        <v>545.99</v>
      </c>
      <c r="F10" s="20" t="s">
        <v>9</v>
      </c>
      <c r="G10" s="21">
        <v>22371.77</v>
      </c>
      <c r="H10" s="6"/>
      <c r="I10" s="180" t="s">
        <v>576</v>
      </c>
      <c r="J10" s="181"/>
      <c r="K10" s="182"/>
      <c r="L10" s="80">
        <v>32.5</v>
      </c>
    </row>
    <row r="11" spans="2:14" ht="21.6" customHeight="1" x14ac:dyDescent="0.25">
      <c r="B11" s="17" t="s">
        <v>453</v>
      </c>
      <c r="C11" s="18">
        <v>2920</v>
      </c>
      <c r="D11" s="22" t="s">
        <v>502</v>
      </c>
      <c r="E11" s="50">
        <v>854.19</v>
      </c>
      <c r="F11" s="23" t="s">
        <v>454</v>
      </c>
      <c r="G11" s="24"/>
      <c r="H11" s="6"/>
      <c r="I11" s="183" t="s">
        <v>568</v>
      </c>
      <c r="J11" s="184"/>
      <c r="K11" s="185"/>
      <c r="L11" s="80">
        <v>80</v>
      </c>
    </row>
    <row r="12" spans="2:14" ht="21.6" customHeight="1" x14ac:dyDescent="0.25">
      <c r="B12" s="17" t="s">
        <v>455</v>
      </c>
      <c r="C12" s="18">
        <v>140</v>
      </c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10440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544</v>
      </c>
      <c r="D15" s="28" t="s">
        <v>11</v>
      </c>
      <c r="E15" s="29">
        <f>SUM(E10:E14)</f>
        <v>1400.18</v>
      </c>
      <c r="F15" s="30" t="s">
        <v>11</v>
      </c>
      <c r="G15" s="31">
        <f>SUM(G10:G14)</f>
        <v>22371.77</v>
      </c>
      <c r="H15" s="6"/>
      <c r="I15" s="116" t="s">
        <v>457</v>
      </c>
      <c r="J15" s="117"/>
      <c r="K15" s="118"/>
      <c r="L15" s="32">
        <f>C15-'5'!C15</f>
        <v>544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-656.5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5:D25"/>
    <mergeCell ref="H25:K25"/>
    <mergeCell ref="B26:D26"/>
    <mergeCell ref="H26:K26"/>
    <mergeCell ref="B21:D21"/>
    <mergeCell ref="H21:K21"/>
    <mergeCell ref="B22:D22"/>
    <mergeCell ref="H22:K22"/>
    <mergeCell ref="B30:D30"/>
    <mergeCell ref="H30:K30"/>
    <mergeCell ref="B23:D23"/>
    <mergeCell ref="H23:K23"/>
    <mergeCell ref="B24:D24"/>
    <mergeCell ref="H24:K24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3:D33"/>
    <mergeCell ref="H33:K33"/>
    <mergeCell ref="B34:D34"/>
    <mergeCell ref="H34:K34"/>
    <mergeCell ref="B35:D35"/>
    <mergeCell ref="H35:K35"/>
    <mergeCell ref="B37:D37"/>
    <mergeCell ref="H37:K37"/>
    <mergeCell ref="B38:D38"/>
    <mergeCell ref="F38:K38"/>
    <mergeCell ref="B42:D42"/>
    <mergeCell ref="F42:K42"/>
    <mergeCell ref="B43:D43"/>
    <mergeCell ref="F43:K43"/>
    <mergeCell ref="B44:D44"/>
    <mergeCell ref="F44:K44"/>
    <mergeCell ref="B36:D36"/>
    <mergeCell ref="H36:K36"/>
    <mergeCell ref="B40:D40"/>
    <mergeCell ref="B41:D41"/>
    <mergeCell ref="F41:K41"/>
    <mergeCell ref="B39:D39"/>
    <mergeCell ref="F39:K39"/>
    <mergeCell ref="F40:K40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3:D73"/>
    <mergeCell ref="F73:K73"/>
    <mergeCell ref="B74:D74"/>
    <mergeCell ref="F74:K74"/>
    <mergeCell ref="B69:D69"/>
    <mergeCell ref="F69:K69"/>
    <mergeCell ref="B70:D70"/>
    <mergeCell ref="F70:K70"/>
    <mergeCell ref="B71:D71"/>
    <mergeCell ref="F71:K71"/>
    <mergeCell ref="B77:D77"/>
    <mergeCell ref="F77:K77"/>
    <mergeCell ref="B78:D78"/>
    <mergeCell ref="F78:K78"/>
    <mergeCell ref="B80:D80"/>
    <mergeCell ref="B81:D81"/>
    <mergeCell ref="B82:D82"/>
    <mergeCell ref="B75:D75"/>
    <mergeCell ref="F75:K75"/>
    <mergeCell ref="B76:D76"/>
    <mergeCell ref="F76:K76"/>
  </mergeCells>
  <phoneticPr fontId="10" type="noConversion"/>
  <conditionalFormatting sqref="A18:A19">
    <cfRule type="cellIs" dxfId="538" priority="1" stopIfTrue="1" operator="equal">
      <formula>"OK"</formula>
    </cfRule>
  </conditionalFormatting>
  <conditionalFormatting sqref="A85:XFD1048576">
    <cfRule type="cellIs" dxfId="537" priority="13" stopIfTrue="1" operator="equal">
      <formula>"OK"</formula>
    </cfRule>
  </conditionalFormatting>
  <conditionalFormatting sqref="B49:B52 B20:H37">
    <cfRule type="expression" dxfId="536" priority="20">
      <formula>$J20="ancien paiement"</formula>
    </cfRule>
  </conditionalFormatting>
  <conditionalFormatting sqref="B60:B62 E60:F62 B67:D67 E67:F68 B68 B69:K69 B70 E70:F70 B71:K78">
    <cfRule type="expression" dxfId="535" priority="19">
      <formula>$F60="ancien paiement"</formula>
    </cfRule>
    <cfRule type="expression" dxfId="534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533" priority="22" stopIfTrue="1" operator="equal">
      <formula>"OK"</formula>
    </cfRule>
  </conditionalFormatting>
  <conditionalFormatting sqref="B9:I16">
    <cfRule type="cellIs" dxfId="532" priority="11" stopIfTrue="1" operator="equal">
      <formula>"OK"</formula>
    </cfRule>
  </conditionalFormatting>
  <conditionalFormatting sqref="B39:K39">
    <cfRule type="expression" dxfId="531" priority="18">
      <formula>$J39="ancien paiement"</formula>
    </cfRule>
  </conditionalFormatting>
  <conditionalFormatting sqref="B39:K48 B49:B52">
    <cfRule type="expression" dxfId="530" priority="5">
      <formula>$F39="ancien paiement"</formula>
    </cfRule>
  </conditionalFormatting>
  <conditionalFormatting sqref="B41:K48">
    <cfRule type="expression" dxfId="529" priority="6">
      <formula>$J41="ancien paiement"</formula>
    </cfRule>
  </conditionalFormatting>
  <conditionalFormatting sqref="B54:K59">
    <cfRule type="expression" dxfId="528" priority="7">
      <formula>$F54="ancien paiement"</formula>
    </cfRule>
    <cfRule type="expression" dxfId="527" priority="8">
      <formula>$J54="ancien paiement"</formula>
    </cfRule>
  </conditionalFormatting>
  <conditionalFormatting sqref="B63:K64">
    <cfRule type="expression" dxfId="526" priority="16">
      <formula>$F63="ancien paiement"</formula>
    </cfRule>
    <cfRule type="expression" dxfId="525" priority="17">
      <formula>$J63="ancien paiement"</formula>
    </cfRule>
  </conditionalFormatting>
  <conditionalFormatting sqref="B66:K66">
    <cfRule type="expression" dxfId="524" priority="14">
      <formula>$F66="ancien paiement"</formula>
    </cfRule>
    <cfRule type="expression" dxfId="523" priority="15">
      <formula>$J66="ancien paiement"</formula>
    </cfRule>
  </conditionalFormatting>
  <conditionalFormatting sqref="B51:L57 B48:L49 B50:D50">
    <cfRule type="cellIs" dxfId="522" priority="9" stopIfTrue="1" operator="equal">
      <formula>"OK"</formula>
    </cfRule>
  </conditionalFormatting>
  <conditionalFormatting sqref="E49">
    <cfRule type="expression" dxfId="521" priority="10">
      <formula>#REF!="ancien paiement"</formula>
    </cfRule>
  </conditionalFormatting>
  <conditionalFormatting sqref="E49:F52">
    <cfRule type="expression" dxfId="520" priority="2">
      <formula>$F49="ancien paiement"</formula>
    </cfRule>
    <cfRule type="expression" dxfId="519" priority="3">
      <formula>$J49="ancien paiement"</formula>
    </cfRule>
  </conditionalFormatting>
  <conditionalFormatting sqref="E4:I6">
    <cfRule type="cellIs" dxfId="518" priority="12" stopIfTrue="1" operator="equal">
      <formula>"OK"</formula>
    </cfRule>
  </conditionalFormatting>
  <conditionalFormatting sqref="E50:L50">
    <cfRule type="cellIs" dxfId="517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2EA7-F946-409D-A9F1-3D53AFCFDA34}">
  <sheetPr>
    <pageSetUpPr fitToPage="1"/>
  </sheetPr>
  <dimension ref="A1:N127"/>
  <sheetViews>
    <sheetView topLeftCell="A46" workbookViewId="0">
      <selection activeCell="B70" sqref="B70:E71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46119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577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7265</v>
      </c>
      <c r="G4" s="1" t="s">
        <v>578</v>
      </c>
      <c r="I4" s="112" t="s">
        <v>3</v>
      </c>
      <c r="J4" s="113"/>
      <c r="K4" s="114">
        <f>E120+C14</f>
        <v>7276.35</v>
      </c>
      <c r="L4" s="115"/>
      <c r="N4" s="6"/>
    </row>
    <row r="5" spans="2:14" ht="16.5" thickBot="1" x14ac:dyDescent="0.3">
      <c r="E5" s="7" t="s">
        <v>4</v>
      </c>
      <c r="F5" s="8">
        <v>13592.29</v>
      </c>
      <c r="G5" s="1" t="s">
        <v>579</v>
      </c>
      <c r="I5" s="95" t="s">
        <v>5</v>
      </c>
      <c r="J5" s="96"/>
      <c r="K5" s="97">
        <f>E15+E121</f>
        <v>13592.289999999999</v>
      </c>
      <c r="L5" s="98"/>
      <c r="N5" s="6"/>
    </row>
    <row r="6" spans="2:14" ht="16.5" thickBot="1" x14ac:dyDescent="0.3">
      <c r="E6" s="9" t="s">
        <v>445</v>
      </c>
      <c r="F6" s="85">
        <v>11.35</v>
      </c>
      <c r="I6" s="95" t="s">
        <v>446</v>
      </c>
      <c r="J6" s="96"/>
      <c r="K6" s="97">
        <f>G15+E122</f>
        <v>27275.98</v>
      </c>
      <c r="L6" s="98"/>
    </row>
    <row r="7" spans="2:14" ht="16.5" thickBot="1" x14ac:dyDescent="0.3">
      <c r="I7" s="99" t="s">
        <v>6</v>
      </c>
      <c r="J7" s="100"/>
      <c r="K7" s="101">
        <f>SUM(E58:E73)</f>
        <v>18382.790000000005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2200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1820</v>
      </c>
      <c r="D10" s="19" t="s">
        <v>580</v>
      </c>
      <c r="E10" s="49">
        <v>277.37</v>
      </c>
      <c r="F10" s="20" t="s">
        <v>9</v>
      </c>
      <c r="G10" s="21">
        <v>26103.54</v>
      </c>
      <c r="H10" s="6"/>
      <c r="I10" s="180" t="s">
        <v>182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2150</v>
      </c>
      <c r="D11" s="22" t="s">
        <v>239</v>
      </c>
      <c r="E11" s="50">
        <v>3520.07</v>
      </c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>
        <v>30</v>
      </c>
      <c r="D12" s="22"/>
      <c r="E12" s="50"/>
      <c r="F12" s="23"/>
      <c r="G12" s="24"/>
      <c r="H12" s="6"/>
      <c r="I12" s="183" t="s">
        <v>202</v>
      </c>
      <c r="J12" s="184"/>
      <c r="K12" s="185"/>
      <c r="L12" s="84">
        <v>85.85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581</v>
      </c>
      <c r="J13" s="141"/>
      <c r="K13" s="142"/>
      <c r="L13" s="24">
        <v>230</v>
      </c>
    </row>
    <row r="14" spans="2:14" ht="23.85" customHeight="1" x14ac:dyDescent="0.25">
      <c r="B14" s="25" t="s">
        <v>11</v>
      </c>
      <c r="C14" s="18">
        <f>SUM(C9:C13)</f>
        <v>6200</v>
      </c>
      <c r="D14" s="22"/>
      <c r="E14" s="50"/>
      <c r="F14" s="23"/>
      <c r="G14" s="24"/>
      <c r="H14" s="6"/>
      <c r="I14" s="140" t="s">
        <v>240</v>
      </c>
      <c r="J14" s="141"/>
      <c r="K14" s="142"/>
      <c r="L14" s="24">
        <v>600</v>
      </c>
    </row>
    <row r="15" spans="2:14" ht="24.6" customHeight="1" thickBot="1" x14ac:dyDescent="0.3">
      <c r="B15" s="26" t="s">
        <v>456</v>
      </c>
      <c r="C15" s="27">
        <v>451</v>
      </c>
      <c r="D15" s="28" t="s">
        <v>11</v>
      </c>
      <c r="E15" s="29">
        <f>SUM(E10:E14)</f>
        <v>3797.44</v>
      </c>
      <c r="F15" s="30" t="s">
        <v>11</v>
      </c>
      <c r="G15" s="31">
        <f>SUM(G10:G14)</f>
        <v>26103.54</v>
      </c>
      <c r="H15" s="6"/>
      <c r="I15" s="116" t="s">
        <v>457</v>
      </c>
      <c r="J15" s="117"/>
      <c r="K15" s="118"/>
      <c r="L15" s="32">
        <f>C15-'6'!C15</f>
        <v>-93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-902.85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174</v>
      </c>
      <c r="B20" s="128" t="s">
        <v>582</v>
      </c>
      <c r="C20" s="129"/>
      <c r="D20" s="130"/>
      <c r="E20" s="20">
        <v>685.52</v>
      </c>
      <c r="F20" s="12" t="s">
        <v>44</v>
      </c>
      <c r="G20" s="51">
        <v>6786163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175</v>
      </c>
      <c r="B21" s="143" t="s">
        <v>583</v>
      </c>
      <c r="C21" s="144"/>
      <c r="D21" s="145"/>
      <c r="E21" s="20">
        <v>2241.89</v>
      </c>
      <c r="F21" s="23" t="s">
        <v>44</v>
      </c>
      <c r="G21" s="52">
        <v>6155355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178</v>
      </c>
      <c r="B22" s="143" t="s">
        <v>584</v>
      </c>
      <c r="C22" s="144"/>
      <c r="D22" s="145"/>
      <c r="E22" s="20">
        <v>346.62</v>
      </c>
      <c r="F22" s="23" t="s">
        <v>44</v>
      </c>
      <c r="G22" s="52">
        <v>4142817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183</v>
      </c>
      <c r="B23" s="143" t="s">
        <v>585</v>
      </c>
      <c r="C23" s="144"/>
      <c r="D23" s="145"/>
      <c r="E23" s="20">
        <v>299.89</v>
      </c>
      <c r="F23" s="23" t="s">
        <v>62</v>
      </c>
      <c r="G23" s="52">
        <v>493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192</v>
      </c>
      <c r="B24" s="143" t="s">
        <v>191</v>
      </c>
      <c r="C24" s="144"/>
      <c r="D24" s="145"/>
      <c r="E24" s="20">
        <v>573.51</v>
      </c>
      <c r="F24" s="23" t="s">
        <v>60</v>
      </c>
      <c r="G24" s="52">
        <v>2916564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201</v>
      </c>
      <c r="B25" s="143" t="s">
        <v>586</v>
      </c>
      <c r="C25" s="144"/>
      <c r="D25" s="145"/>
      <c r="E25" s="20">
        <v>302.95</v>
      </c>
      <c r="F25" s="23" t="s">
        <v>44</v>
      </c>
      <c r="G25" s="52">
        <v>2722680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211</v>
      </c>
      <c r="B26" s="143" t="s">
        <v>210</v>
      </c>
      <c r="C26" s="144"/>
      <c r="D26" s="145"/>
      <c r="E26" s="20">
        <v>339</v>
      </c>
      <c r="F26" s="23" t="s">
        <v>56</v>
      </c>
      <c r="G26" s="52">
        <v>9427205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90</v>
      </c>
      <c r="B27" s="143" t="s">
        <v>509</v>
      </c>
      <c r="C27" s="144"/>
      <c r="D27" s="145"/>
      <c r="E27" s="20">
        <v>656.13</v>
      </c>
      <c r="F27" s="23" t="s">
        <v>75</v>
      </c>
      <c r="G27" s="52">
        <v>298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216</v>
      </c>
      <c r="B28" s="143" t="s">
        <v>587</v>
      </c>
      <c r="C28" s="144"/>
      <c r="D28" s="145"/>
      <c r="E28" s="20">
        <v>425.53</v>
      </c>
      <c r="F28" s="23" t="s">
        <v>60</v>
      </c>
      <c r="G28" s="52">
        <v>473</v>
      </c>
      <c r="H28" s="146"/>
      <c r="I28" s="147"/>
      <c r="J28" s="147"/>
      <c r="K28" s="148"/>
      <c r="L28" s="23" t="s">
        <v>33</v>
      </c>
    </row>
    <row r="29" spans="1:12" x14ac:dyDescent="0.25">
      <c r="A29" s="66" t="s">
        <v>218</v>
      </c>
      <c r="B29" s="143" t="s">
        <v>217</v>
      </c>
      <c r="C29" s="144"/>
      <c r="D29" s="145"/>
      <c r="E29" s="20">
        <v>246.1</v>
      </c>
      <c r="F29" s="23" t="s">
        <v>60</v>
      </c>
      <c r="G29" s="52">
        <v>2032</v>
      </c>
      <c r="H29" s="146"/>
      <c r="I29" s="147"/>
      <c r="J29" s="147"/>
      <c r="K29" s="148"/>
      <c r="L29" s="23" t="s">
        <v>33</v>
      </c>
    </row>
    <row r="30" spans="1:12" x14ac:dyDescent="0.25">
      <c r="A30" s="66" t="s">
        <v>221</v>
      </c>
      <c r="B30" s="143" t="s">
        <v>588</v>
      </c>
      <c r="C30" s="144"/>
      <c r="D30" s="145"/>
      <c r="E30" s="20">
        <v>488.65</v>
      </c>
      <c r="F30" s="23" t="s">
        <v>589</v>
      </c>
      <c r="G30" s="52">
        <v>697</v>
      </c>
      <c r="H30" s="146"/>
      <c r="I30" s="147"/>
      <c r="J30" s="147"/>
      <c r="K30" s="148"/>
      <c r="L30" s="23" t="s">
        <v>33</v>
      </c>
    </row>
    <row r="31" spans="1:12" x14ac:dyDescent="0.25">
      <c r="A31" s="66" t="s">
        <v>154</v>
      </c>
      <c r="B31" s="143" t="s">
        <v>590</v>
      </c>
      <c r="C31" s="144"/>
      <c r="D31" s="145"/>
      <c r="E31" s="20">
        <v>375.16</v>
      </c>
      <c r="F31" s="23" t="s">
        <v>75</v>
      </c>
      <c r="G31" s="52">
        <v>72</v>
      </c>
      <c r="H31" s="146"/>
      <c r="I31" s="147"/>
      <c r="J31" s="147"/>
      <c r="K31" s="148"/>
      <c r="L31" s="23" t="s">
        <v>33</v>
      </c>
    </row>
    <row r="32" spans="1:12" x14ac:dyDescent="0.25">
      <c r="A32" s="66" t="s">
        <v>229</v>
      </c>
      <c r="B32" s="143" t="s">
        <v>591</v>
      </c>
      <c r="C32" s="144"/>
      <c r="D32" s="145"/>
      <c r="E32" s="20">
        <v>423.36</v>
      </c>
      <c r="F32" s="23" t="s">
        <v>62</v>
      </c>
      <c r="G32" s="52">
        <v>1167</v>
      </c>
      <c r="H32" s="146"/>
      <c r="I32" s="147"/>
      <c r="J32" s="147"/>
      <c r="K32" s="148"/>
      <c r="L32" s="23" t="s">
        <v>33</v>
      </c>
    </row>
    <row r="33" spans="1:12" x14ac:dyDescent="0.25">
      <c r="A33" s="66" t="s">
        <v>231</v>
      </c>
      <c r="B33" s="143" t="s">
        <v>592</v>
      </c>
      <c r="C33" s="144"/>
      <c r="D33" s="145"/>
      <c r="E33" s="20">
        <v>938.16</v>
      </c>
      <c r="F33" s="23" t="s">
        <v>56</v>
      </c>
      <c r="G33" s="52">
        <v>8903627</v>
      </c>
      <c r="H33" s="146"/>
      <c r="I33" s="147"/>
      <c r="J33" s="147"/>
      <c r="K33" s="148"/>
      <c r="L33" s="17" t="s">
        <v>33</v>
      </c>
    </row>
    <row r="34" spans="1:12" x14ac:dyDescent="0.25">
      <c r="A34" s="66" t="s">
        <v>232</v>
      </c>
      <c r="B34" s="143" t="s">
        <v>593</v>
      </c>
      <c r="C34" s="144"/>
      <c r="D34" s="145"/>
      <c r="E34" s="20">
        <v>519.6</v>
      </c>
      <c r="F34" s="23" t="s">
        <v>46</v>
      </c>
      <c r="G34" s="52">
        <v>4163039</v>
      </c>
      <c r="H34" s="146"/>
      <c r="I34" s="147"/>
      <c r="J34" s="147"/>
      <c r="K34" s="148"/>
      <c r="L34" s="17" t="s">
        <v>33</v>
      </c>
    </row>
    <row r="35" spans="1:12" x14ac:dyDescent="0.25">
      <c r="A35" s="66" t="s">
        <v>45</v>
      </c>
      <c r="B35" s="143" t="s">
        <v>48</v>
      </c>
      <c r="C35" s="144"/>
      <c r="D35" s="145"/>
      <c r="E35" s="20">
        <v>564.46</v>
      </c>
      <c r="F35" s="23" t="s">
        <v>44</v>
      </c>
      <c r="G35" s="52">
        <v>9906400</v>
      </c>
      <c r="H35" s="146"/>
      <c r="I35" s="147"/>
      <c r="J35" s="147"/>
      <c r="K35" s="148"/>
      <c r="L35" s="17" t="s">
        <v>33</v>
      </c>
    </row>
    <row r="36" spans="1:12" ht="16.5" thickBot="1" x14ac:dyDescent="0.3">
      <c r="A36" s="66" t="s">
        <v>233</v>
      </c>
      <c r="B36" s="149" t="s">
        <v>594</v>
      </c>
      <c r="C36" s="150"/>
      <c r="D36" s="151"/>
      <c r="E36" s="20">
        <v>368.32</v>
      </c>
      <c r="F36" s="29" t="s">
        <v>58</v>
      </c>
      <c r="G36" s="53">
        <v>9978481</v>
      </c>
      <c r="H36" s="152"/>
      <c r="I36" s="153"/>
      <c r="J36" s="153"/>
      <c r="K36" s="154"/>
      <c r="L36" s="29" t="s">
        <v>33</v>
      </c>
    </row>
    <row r="37" spans="1:12" ht="16.5" thickBot="1" x14ac:dyDescent="0.3">
      <c r="A37" s="72" t="s">
        <v>458</v>
      </c>
      <c r="B37" s="155" t="s">
        <v>460</v>
      </c>
      <c r="C37" s="156"/>
      <c r="D37" s="157"/>
      <c r="E37" s="36" t="s">
        <v>8</v>
      </c>
      <c r="F37" s="119" t="s">
        <v>15</v>
      </c>
      <c r="G37" s="120"/>
      <c r="H37" s="120"/>
      <c r="I37" s="120"/>
      <c r="J37" s="120"/>
      <c r="K37" s="121"/>
      <c r="L37" s="40" t="s">
        <v>16</v>
      </c>
    </row>
    <row r="38" spans="1:12" x14ac:dyDescent="0.25">
      <c r="A38" s="66"/>
      <c r="B38" s="128" t="s">
        <v>595</v>
      </c>
      <c r="C38" s="129"/>
      <c r="D38" s="162"/>
      <c r="E38" s="41">
        <v>12.5</v>
      </c>
      <c r="F38" s="163" t="s">
        <v>238</v>
      </c>
      <c r="G38" s="164"/>
      <c r="H38" s="164"/>
      <c r="I38" s="164"/>
      <c r="J38" s="164"/>
      <c r="K38" s="165"/>
      <c r="L38" s="42"/>
    </row>
    <row r="39" spans="1:12" x14ac:dyDescent="0.25">
      <c r="A39" s="66" t="s">
        <v>177</v>
      </c>
      <c r="B39" s="143" t="s">
        <v>596</v>
      </c>
      <c r="C39" s="144"/>
      <c r="D39" s="158"/>
      <c r="E39" s="43">
        <v>160</v>
      </c>
      <c r="F39" s="159"/>
      <c r="G39" s="160"/>
      <c r="H39" s="160"/>
      <c r="I39" s="160"/>
      <c r="J39" s="160"/>
      <c r="K39" s="161"/>
      <c r="L39" s="23" t="s">
        <v>33</v>
      </c>
    </row>
    <row r="40" spans="1:12" x14ac:dyDescent="0.25">
      <c r="A40" s="66" t="s">
        <v>222</v>
      </c>
      <c r="B40" s="143" t="s">
        <v>597</v>
      </c>
      <c r="C40" s="144"/>
      <c r="D40" s="158"/>
      <c r="E40" s="43">
        <v>393.37</v>
      </c>
      <c r="F40" s="159"/>
      <c r="G40" s="160"/>
      <c r="H40" s="160"/>
      <c r="I40" s="160"/>
      <c r="J40" s="160"/>
      <c r="K40" s="161"/>
      <c r="L40" s="17" t="s">
        <v>33</v>
      </c>
    </row>
    <row r="41" spans="1:12" x14ac:dyDescent="0.25">
      <c r="A41" s="66" t="s">
        <v>224</v>
      </c>
      <c r="B41" s="143" t="s">
        <v>223</v>
      </c>
      <c r="C41" s="144"/>
      <c r="D41" s="158"/>
      <c r="E41" s="43">
        <v>352.26</v>
      </c>
      <c r="F41" s="159"/>
      <c r="G41" s="160"/>
      <c r="H41" s="160"/>
      <c r="I41" s="160"/>
      <c r="J41" s="160"/>
      <c r="K41" s="161"/>
      <c r="L41" s="23" t="s">
        <v>33</v>
      </c>
    </row>
    <row r="42" spans="1:12" x14ac:dyDescent="0.25">
      <c r="A42" s="66"/>
      <c r="B42" s="143" t="s">
        <v>598</v>
      </c>
      <c r="C42" s="144"/>
      <c r="D42" s="158"/>
      <c r="E42" s="43">
        <v>158.22</v>
      </c>
      <c r="F42" s="159" t="s">
        <v>225</v>
      </c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ht="16.5" thickBot="1" x14ac:dyDescent="0.3">
      <c r="A46" s="66"/>
      <c r="B46" s="149"/>
      <c r="C46" s="150"/>
      <c r="D46" s="169"/>
      <c r="E46" s="43"/>
      <c r="F46" s="170"/>
      <c r="G46" s="171"/>
      <c r="H46" s="171"/>
      <c r="I46" s="171"/>
      <c r="J46" s="171"/>
      <c r="K46" s="172"/>
      <c r="L46" s="44"/>
    </row>
    <row r="47" spans="1:12" ht="16.5" thickBot="1" x14ac:dyDescent="0.3">
      <c r="A47" s="71" t="s">
        <v>458</v>
      </c>
      <c r="B47" s="166" t="s">
        <v>461</v>
      </c>
      <c r="C47" s="167"/>
      <c r="D47" s="168"/>
      <c r="E47" s="36" t="s">
        <v>8</v>
      </c>
      <c r="F47" s="119" t="s">
        <v>15</v>
      </c>
      <c r="G47" s="120"/>
      <c r="H47" s="120"/>
      <c r="I47" s="120"/>
      <c r="J47" s="120"/>
      <c r="K47" s="121"/>
      <c r="L47" s="39" t="s">
        <v>16</v>
      </c>
    </row>
    <row r="48" spans="1:12" x14ac:dyDescent="0.25">
      <c r="A48" s="66" t="s">
        <v>176</v>
      </c>
      <c r="B48" s="143" t="s">
        <v>599</v>
      </c>
      <c r="C48" s="144"/>
      <c r="D48" s="158"/>
      <c r="E48" s="43">
        <v>228.17</v>
      </c>
      <c r="F48" s="159"/>
      <c r="G48" s="160"/>
      <c r="H48" s="160"/>
      <c r="I48" s="160"/>
      <c r="J48" s="160"/>
      <c r="K48" s="161"/>
      <c r="L48" s="20" t="s">
        <v>33</v>
      </c>
    </row>
    <row r="49" spans="1:12" x14ac:dyDescent="0.25">
      <c r="A49" s="66"/>
      <c r="B49" s="143" t="s">
        <v>600</v>
      </c>
      <c r="C49" s="144"/>
      <c r="D49" s="158"/>
      <c r="E49" s="43">
        <v>348.06</v>
      </c>
      <c r="F49" s="86">
        <v>345.87</v>
      </c>
      <c r="G49" s="18">
        <v>2.19</v>
      </c>
      <c r="H49" s="160" t="s">
        <v>601</v>
      </c>
      <c r="I49" s="160"/>
      <c r="J49" s="160"/>
      <c r="K49" s="161"/>
      <c r="L49" s="20" t="s">
        <v>33</v>
      </c>
    </row>
    <row r="50" spans="1:12" x14ac:dyDescent="0.25">
      <c r="A50" s="66" t="s">
        <v>237</v>
      </c>
      <c r="B50" s="143" t="s">
        <v>236</v>
      </c>
      <c r="C50" s="144"/>
      <c r="D50" s="158"/>
      <c r="E50" s="43">
        <v>596.21</v>
      </c>
      <c r="F50" s="159" t="s">
        <v>225</v>
      </c>
      <c r="G50" s="160"/>
      <c r="H50" s="160"/>
      <c r="I50" s="160"/>
      <c r="J50" s="160"/>
      <c r="K50" s="161"/>
      <c r="L50" s="20" t="s">
        <v>33</v>
      </c>
    </row>
    <row r="51" spans="1:12" ht="16.5" thickBot="1" x14ac:dyDescent="0.3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71" t="s">
        <v>458</v>
      </c>
      <c r="B52" s="166" t="s">
        <v>462</v>
      </c>
      <c r="C52" s="167"/>
      <c r="D52" s="168"/>
      <c r="E52" s="36" t="s">
        <v>8</v>
      </c>
      <c r="F52" s="119" t="s">
        <v>15</v>
      </c>
      <c r="G52" s="120"/>
      <c r="H52" s="120"/>
      <c r="I52" s="120"/>
      <c r="J52" s="120"/>
      <c r="K52" s="121"/>
      <c r="L52" s="39" t="s">
        <v>16</v>
      </c>
    </row>
    <row r="53" spans="1:12" x14ac:dyDescent="0.25">
      <c r="A53" s="66"/>
      <c r="B53" s="143"/>
      <c r="C53" s="144">
        <v>802.36</v>
      </c>
      <c r="D53" s="158" t="s">
        <v>18</v>
      </c>
      <c r="E53" s="43"/>
      <c r="F53" s="163"/>
      <c r="G53" s="164"/>
      <c r="H53" s="164"/>
      <c r="I53" s="164"/>
      <c r="J53" s="164"/>
      <c r="K53" s="165"/>
      <c r="L53" s="20"/>
    </row>
    <row r="54" spans="1:12" x14ac:dyDescent="0.25">
      <c r="A54" s="66"/>
      <c r="B54" s="143"/>
      <c r="C54" s="144">
        <v>675.28</v>
      </c>
      <c r="D54" s="158" t="s">
        <v>19</v>
      </c>
      <c r="E54" s="43"/>
      <c r="F54" s="159"/>
      <c r="G54" s="160"/>
      <c r="H54" s="160"/>
      <c r="I54" s="160"/>
      <c r="J54" s="160"/>
      <c r="K54" s="161"/>
      <c r="L54" s="23"/>
    </row>
    <row r="55" spans="1:12" x14ac:dyDescent="0.25">
      <c r="A55" s="66"/>
      <c r="B55" s="143"/>
      <c r="C55" s="144">
        <v>689.72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ht="16.5" thickBot="1" x14ac:dyDescent="0.3">
      <c r="A56" s="66"/>
      <c r="B56" s="143"/>
      <c r="C56" s="144">
        <v>340.26</v>
      </c>
      <c r="D56" s="158" t="s">
        <v>20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71" t="s">
        <v>458</v>
      </c>
      <c r="B57" s="166" t="s">
        <v>17</v>
      </c>
      <c r="C57" s="167"/>
      <c r="D57" s="168"/>
      <c r="E57" s="36" t="s">
        <v>8</v>
      </c>
      <c r="F57" s="119" t="s">
        <v>15</v>
      </c>
      <c r="G57" s="120"/>
      <c r="H57" s="120"/>
      <c r="I57" s="120"/>
      <c r="J57" s="120"/>
      <c r="K57" s="121"/>
      <c r="L57" s="39" t="s">
        <v>16</v>
      </c>
    </row>
    <row r="58" spans="1:12" x14ac:dyDescent="0.25">
      <c r="A58" s="66"/>
      <c r="B58" s="128" t="s">
        <v>163</v>
      </c>
      <c r="C58" s="129"/>
      <c r="D58" s="162"/>
      <c r="E58" s="43">
        <v>2442.35</v>
      </c>
      <c r="F58" s="163"/>
      <c r="G58" s="164"/>
      <c r="H58" s="164"/>
      <c r="I58" s="164"/>
      <c r="J58" s="164"/>
      <c r="K58" s="165"/>
      <c r="L58" s="23" t="s">
        <v>33</v>
      </c>
    </row>
    <row r="59" spans="1:12" x14ac:dyDescent="0.25">
      <c r="A59" s="66"/>
      <c r="B59" s="143" t="s">
        <v>164</v>
      </c>
      <c r="C59" s="144"/>
      <c r="D59" s="158"/>
      <c r="E59" s="43">
        <v>506.7</v>
      </c>
      <c r="F59" s="159"/>
      <c r="G59" s="160"/>
      <c r="H59" s="160"/>
      <c r="I59" s="160"/>
      <c r="J59" s="160"/>
      <c r="K59" s="161"/>
      <c r="L59" s="23" t="s">
        <v>33</v>
      </c>
    </row>
    <row r="60" spans="1:12" x14ac:dyDescent="0.25">
      <c r="A60" s="66"/>
      <c r="B60" s="143" t="s">
        <v>165</v>
      </c>
      <c r="C60" s="144"/>
      <c r="D60" s="158"/>
      <c r="E60" s="43">
        <v>2568.61</v>
      </c>
      <c r="F60" s="159"/>
      <c r="G60" s="160"/>
      <c r="H60" s="160"/>
      <c r="I60" s="160"/>
      <c r="J60" s="160"/>
      <c r="K60" s="161"/>
      <c r="L60" s="23" t="s">
        <v>33</v>
      </c>
    </row>
    <row r="61" spans="1:12" x14ac:dyDescent="0.25">
      <c r="A61" s="66"/>
      <c r="B61" s="143" t="s">
        <v>166</v>
      </c>
      <c r="C61" s="144"/>
      <c r="D61" s="158"/>
      <c r="E61" s="43">
        <v>375.85</v>
      </c>
      <c r="F61" s="159"/>
      <c r="G61" s="160"/>
      <c r="H61" s="160"/>
      <c r="I61" s="160"/>
      <c r="J61" s="160"/>
      <c r="K61" s="161"/>
      <c r="L61" s="23" t="s">
        <v>33</v>
      </c>
    </row>
    <row r="62" spans="1:12" x14ac:dyDescent="0.25">
      <c r="A62" s="66"/>
      <c r="B62" s="143" t="s">
        <v>167</v>
      </c>
      <c r="C62" s="144"/>
      <c r="D62" s="158"/>
      <c r="E62" s="43">
        <v>513.13</v>
      </c>
      <c r="F62" s="159"/>
      <c r="G62" s="160"/>
      <c r="H62" s="160"/>
      <c r="I62" s="160"/>
      <c r="J62" s="160"/>
      <c r="K62" s="161"/>
      <c r="L62" s="23" t="s">
        <v>33</v>
      </c>
    </row>
    <row r="63" spans="1:12" x14ac:dyDescent="0.25">
      <c r="A63" s="66"/>
      <c r="B63" s="143" t="s">
        <v>168</v>
      </c>
      <c r="C63" s="144"/>
      <c r="D63" s="158"/>
      <c r="E63" s="43">
        <v>1053.95</v>
      </c>
      <c r="F63" s="159"/>
      <c r="G63" s="160"/>
      <c r="H63" s="160"/>
      <c r="I63" s="160"/>
      <c r="J63" s="160"/>
      <c r="K63" s="161"/>
      <c r="L63" s="23" t="s">
        <v>33</v>
      </c>
    </row>
    <row r="64" spans="1:12" x14ac:dyDescent="0.25">
      <c r="A64" s="66"/>
      <c r="B64" s="143" t="s">
        <v>165</v>
      </c>
      <c r="C64" s="144"/>
      <c r="D64" s="158"/>
      <c r="E64" s="43">
        <v>1396.48</v>
      </c>
      <c r="F64" s="159"/>
      <c r="G64" s="160"/>
      <c r="H64" s="160"/>
      <c r="I64" s="160"/>
      <c r="J64" s="160"/>
      <c r="K64" s="161"/>
      <c r="L64" s="23" t="s">
        <v>33</v>
      </c>
    </row>
    <row r="65" spans="1:12" x14ac:dyDescent="0.25">
      <c r="A65" s="66"/>
      <c r="B65" s="143" t="s">
        <v>169</v>
      </c>
      <c r="C65" s="144"/>
      <c r="D65" s="158"/>
      <c r="E65" s="43">
        <v>432.71</v>
      </c>
      <c r="F65" s="159"/>
      <c r="G65" s="160"/>
      <c r="H65" s="160"/>
      <c r="I65" s="160"/>
      <c r="J65" s="160"/>
      <c r="K65" s="161"/>
      <c r="L65" s="23" t="s">
        <v>33</v>
      </c>
    </row>
    <row r="66" spans="1:12" x14ac:dyDescent="0.25">
      <c r="A66" s="66"/>
      <c r="B66" s="143" t="s">
        <v>170</v>
      </c>
      <c r="C66" s="144"/>
      <c r="D66" s="158"/>
      <c r="E66" s="43">
        <v>394</v>
      </c>
      <c r="F66" s="159"/>
      <c r="G66" s="160"/>
      <c r="H66" s="160"/>
      <c r="I66" s="160"/>
      <c r="J66" s="160"/>
      <c r="K66" s="161"/>
      <c r="L66" s="23" t="s">
        <v>33</v>
      </c>
    </row>
    <row r="67" spans="1:12" x14ac:dyDescent="0.25">
      <c r="A67" s="66"/>
      <c r="B67" s="143" t="s">
        <v>171</v>
      </c>
      <c r="C67" s="144"/>
      <c r="D67" s="158"/>
      <c r="E67" s="43">
        <v>954.62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66"/>
      <c r="B68" s="143" t="s">
        <v>172</v>
      </c>
      <c r="C68" s="144"/>
      <c r="D68" s="158"/>
      <c r="E68" s="43">
        <v>3525.26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66"/>
      <c r="B69" s="143" t="s">
        <v>165</v>
      </c>
      <c r="C69" s="144"/>
      <c r="D69" s="158"/>
      <c r="E69" s="43">
        <v>2126.4499999999998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66"/>
      <c r="B70" s="143" t="s">
        <v>602</v>
      </c>
      <c r="C70" s="144"/>
      <c r="D70" s="158"/>
      <c r="E70" s="43">
        <v>140.56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66"/>
      <c r="B71" s="143" t="s">
        <v>603</v>
      </c>
      <c r="C71" s="144"/>
      <c r="D71" s="158"/>
      <c r="E71" s="43">
        <v>1392.24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66"/>
      <c r="B72" s="143" t="s">
        <v>604</v>
      </c>
      <c r="C72" s="144"/>
      <c r="D72" s="158"/>
      <c r="E72" s="43">
        <v>320.05</v>
      </c>
      <c r="F72" s="159"/>
      <c r="G72" s="160"/>
      <c r="H72" s="160"/>
      <c r="I72" s="160"/>
      <c r="J72" s="160"/>
      <c r="K72" s="161"/>
      <c r="L72" s="23" t="s">
        <v>33</v>
      </c>
    </row>
    <row r="73" spans="1:12" ht="16.5" thickBot="1" x14ac:dyDescent="0.3">
      <c r="A73" s="67"/>
      <c r="B73" s="149" t="s">
        <v>604</v>
      </c>
      <c r="C73" s="150"/>
      <c r="D73" s="169"/>
      <c r="E73" s="43">
        <v>239.83</v>
      </c>
      <c r="F73" s="170"/>
      <c r="G73" s="171"/>
      <c r="H73" s="171"/>
      <c r="I73" s="171"/>
      <c r="J73" s="171"/>
      <c r="K73" s="172"/>
      <c r="L73" s="23" t="s">
        <v>33</v>
      </c>
    </row>
    <row r="74" spans="1:12" ht="16.5" thickBot="1" x14ac:dyDescent="0.3">
      <c r="A74" s="70" t="s">
        <v>458</v>
      </c>
      <c r="B74" s="173" t="s">
        <v>463</v>
      </c>
      <c r="C74" s="174"/>
      <c r="D74" s="175"/>
      <c r="E74" s="36" t="s">
        <v>8</v>
      </c>
      <c r="F74" s="119" t="s">
        <v>15</v>
      </c>
      <c r="G74" s="120"/>
      <c r="H74" s="120"/>
      <c r="I74" s="120"/>
      <c r="J74" s="120"/>
      <c r="K74" s="121"/>
      <c r="L74" s="39" t="s">
        <v>16</v>
      </c>
    </row>
    <row r="75" spans="1:12" ht="16.5" thickBot="1" x14ac:dyDescent="0.3">
      <c r="A75" s="17" t="s">
        <v>98</v>
      </c>
      <c r="B75" s="128" t="s">
        <v>529</v>
      </c>
      <c r="C75" s="129"/>
      <c r="D75" s="162"/>
      <c r="E75" s="43">
        <v>204.52</v>
      </c>
      <c r="F75" s="163"/>
      <c r="G75" s="164"/>
      <c r="H75" s="164"/>
      <c r="I75" s="164"/>
      <c r="J75" s="164"/>
      <c r="K75" s="165"/>
      <c r="L75" s="23" t="s">
        <v>33</v>
      </c>
    </row>
    <row r="76" spans="1:12" x14ac:dyDescent="0.25">
      <c r="A76" s="17" t="s">
        <v>173</v>
      </c>
      <c r="B76" s="128" t="s">
        <v>605</v>
      </c>
      <c r="C76" s="129"/>
      <c r="D76" s="162"/>
      <c r="E76" s="43">
        <v>738.39</v>
      </c>
      <c r="F76" s="159"/>
      <c r="G76" s="160"/>
      <c r="H76" s="160"/>
      <c r="I76" s="160"/>
      <c r="J76" s="160"/>
      <c r="K76" s="161"/>
      <c r="L76" s="23" t="s">
        <v>33</v>
      </c>
    </row>
    <row r="77" spans="1:12" x14ac:dyDescent="0.25">
      <c r="A77" s="17" t="s">
        <v>180</v>
      </c>
      <c r="B77" s="143" t="s">
        <v>179</v>
      </c>
      <c r="C77" s="144"/>
      <c r="D77" s="158"/>
      <c r="E77" s="43">
        <v>303.67</v>
      </c>
      <c r="F77" s="159"/>
      <c r="G77" s="160"/>
      <c r="H77" s="160"/>
      <c r="I77" s="160"/>
      <c r="J77" s="160"/>
      <c r="K77" s="161"/>
      <c r="L77" s="23" t="s">
        <v>33</v>
      </c>
    </row>
    <row r="78" spans="1:12" x14ac:dyDescent="0.25">
      <c r="A78" s="17" t="s">
        <v>181</v>
      </c>
      <c r="B78" s="143" t="s">
        <v>606</v>
      </c>
      <c r="C78" s="144"/>
      <c r="D78" s="158"/>
      <c r="E78" s="43">
        <v>335.14</v>
      </c>
      <c r="F78" s="159"/>
      <c r="G78" s="160"/>
      <c r="H78" s="160"/>
      <c r="I78" s="160"/>
      <c r="J78" s="160"/>
      <c r="K78" s="161"/>
      <c r="L78" s="23" t="s">
        <v>33</v>
      </c>
    </row>
    <row r="79" spans="1:12" x14ac:dyDescent="0.25">
      <c r="A79" s="17" t="s">
        <v>184</v>
      </c>
      <c r="B79" s="143" t="s">
        <v>607</v>
      </c>
      <c r="C79" s="144"/>
      <c r="D79" s="158"/>
      <c r="E79" s="43">
        <v>289.86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185</v>
      </c>
      <c r="B80" s="143" t="s">
        <v>608</v>
      </c>
      <c r="C80" s="144"/>
      <c r="D80" s="158"/>
      <c r="E80" s="43">
        <v>438.46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17" t="s">
        <v>187</v>
      </c>
      <c r="B81" s="143" t="s">
        <v>186</v>
      </c>
      <c r="C81" s="144"/>
      <c r="D81" s="158"/>
      <c r="E81" s="43">
        <v>380.55</v>
      </c>
      <c r="F81" s="159"/>
      <c r="G81" s="160"/>
      <c r="H81" s="160"/>
      <c r="I81" s="160"/>
      <c r="J81" s="160"/>
      <c r="K81" s="161"/>
      <c r="L81" s="23" t="s">
        <v>33</v>
      </c>
    </row>
    <row r="82" spans="1:12" x14ac:dyDescent="0.25">
      <c r="A82" s="17" t="s">
        <v>188</v>
      </c>
      <c r="B82" s="143" t="s">
        <v>555</v>
      </c>
      <c r="C82" s="144"/>
      <c r="D82" s="158"/>
      <c r="E82" s="43">
        <v>365.76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17" t="s">
        <v>189</v>
      </c>
      <c r="B83" s="143" t="s">
        <v>609</v>
      </c>
      <c r="C83" s="144"/>
      <c r="D83" s="158"/>
      <c r="E83" s="43">
        <v>615.52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17" t="s">
        <v>190</v>
      </c>
      <c r="B84" s="74"/>
      <c r="C84" s="75" t="s">
        <v>541</v>
      </c>
      <c r="D84" s="76"/>
      <c r="E84" s="43">
        <v>414.56</v>
      </c>
      <c r="F84" s="77"/>
      <c r="G84" s="78"/>
      <c r="H84" s="78"/>
      <c r="I84" s="78"/>
      <c r="J84" s="78"/>
      <c r="K84" s="79"/>
      <c r="L84" s="23" t="s">
        <v>33</v>
      </c>
    </row>
    <row r="85" spans="1:12" x14ac:dyDescent="0.25">
      <c r="A85" s="17" t="s">
        <v>193</v>
      </c>
      <c r="B85" s="74"/>
      <c r="C85" s="75" t="s">
        <v>540</v>
      </c>
      <c r="D85" s="76"/>
      <c r="E85" s="43">
        <v>1601.67</v>
      </c>
      <c r="F85" s="77"/>
      <c r="G85" s="78"/>
      <c r="H85" s="78"/>
      <c r="I85" s="78"/>
      <c r="J85" s="78"/>
      <c r="K85" s="79"/>
      <c r="L85" s="23" t="s">
        <v>33</v>
      </c>
    </row>
    <row r="86" spans="1:12" x14ac:dyDescent="0.25">
      <c r="A86" s="17" t="s">
        <v>194</v>
      </c>
      <c r="B86" s="74"/>
      <c r="C86" s="75" t="s">
        <v>610</v>
      </c>
      <c r="D86" s="76"/>
      <c r="E86" s="43">
        <v>637.29</v>
      </c>
      <c r="F86" s="77"/>
      <c r="G86" s="78"/>
      <c r="H86" s="78"/>
      <c r="I86" s="78"/>
      <c r="J86" s="78"/>
      <c r="K86" s="79"/>
      <c r="L86" s="23" t="s">
        <v>33</v>
      </c>
    </row>
    <row r="87" spans="1:12" x14ac:dyDescent="0.25">
      <c r="A87" s="17" t="s">
        <v>194</v>
      </c>
      <c r="B87" s="74"/>
      <c r="C87" s="75" t="s">
        <v>610</v>
      </c>
      <c r="D87" s="76"/>
      <c r="E87" s="43">
        <v>771.02</v>
      </c>
      <c r="F87" s="77"/>
      <c r="G87" s="78"/>
      <c r="H87" s="78"/>
      <c r="I87" s="78"/>
      <c r="J87" s="78"/>
      <c r="K87" s="79"/>
      <c r="L87" s="23" t="s">
        <v>33</v>
      </c>
    </row>
    <row r="88" spans="1:12" x14ac:dyDescent="0.25">
      <c r="A88" s="17" t="s">
        <v>73</v>
      </c>
      <c r="B88" s="74"/>
      <c r="C88" s="75" t="s">
        <v>523</v>
      </c>
      <c r="D88" s="76"/>
      <c r="E88" s="43">
        <v>1026.44</v>
      </c>
      <c r="F88" s="77"/>
      <c r="G88" s="78"/>
      <c r="H88" s="78"/>
      <c r="I88" s="78"/>
      <c r="J88" s="78"/>
      <c r="K88" s="79"/>
      <c r="L88" s="23" t="s">
        <v>33</v>
      </c>
    </row>
    <row r="89" spans="1:12" x14ac:dyDescent="0.25">
      <c r="A89" s="17" t="s">
        <v>195</v>
      </c>
      <c r="B89" s="74"/>
      <c r="C89" s="75" t="s">
        <v>611</v>
      </c>
      <c r="D89" s="76"/>
      <c r="E89" s="43">
        <v>1853.22</v>
      </c>
      <c r="F89" s="77"/>
      <c r="G89" s="78"/>
      <c r="H89" s="78"/>
      <c r="I89" s="78"/>
      <c r="J89" s="78"/>
      <c r="K89" s="79"/>
      <c r="L89" s="23" t="s">
        <v>33</v>
      </c>
    </row>
    <row r="90" spans="1:12" x14ac:dyDescent="0.25">
      <c r="A90" s="17" t="s">
        <v>196</v>
      </c>
      <c r="B90" s="74"/>
      <c r="C90" s="75" t="s">
        <v>524</v>
      </c>
      <c r="D90" s="76"/>
      <c r="E90" s="43">
        <v>2639.81</v>
      </c>
      <c r="F90" s="77"/>
      <c r="G90" s="78"/>
      <c r="H90" s="78"/>
      <c r="I90" s="78"/>
      <c r="J90" s="78"/>
      <c r="K90" s="79"/>
      <c r="L90" s="23" t="s">
        <v>33</v>
      </c>
    </row>
    <row r="91" spans="1:12" x14ac:dyDescent="0.25">
      <c r="A91" s="17" t="s">
        <v>197</v>
      </c>
      <c r="B91" s="74"/>
      <c r="C91" s="75" t="s">
        <v>612</v>
      </c>
      <c r="D91" s="76"/>
      <c r="E91" s="43">
        <v>358.4</v>
      </c>
      <c r="F91" s="77"/>
      <c r="G91" s="78"/>
      <c r="H91" s="78"/>
      <c r="I91" s="78"/>
      <c r="J91" s="78"/>
      <c r="K91" s="79"/>
      <c r="L91" s="23" t="s">
        <v>33</v>
      </c>
    </row>
    <row r="92" spans="1:12" x14ac:dyDescent="0.25">
      <c r="A92" s="17" t="s">
        <v>198</v>
      </c>
      <c r="B92" s="74"/>
      <c r="C92" s="75" t="s">
        <v>613</v>
      </c>
      <c r="D92" s="76"/>
      <c r="E92" s="43">
        <v>300.66000000000003</v>
      </c>
      <c r="F92" s="77"/>
      <c r="G92" s="78"/>
      <c r="H92" s="78"/>
      <c r="I92" s="78"/>
      <c r="J92" s="78"/>
      <c r="K92" s="79"/>
      <c r="L92" s="23" t="s">
        <v>33</v>
      </c>
    </row>
    <row r="93" spans="1:12" x14ac:dyDescent="0.25">
      <c r="A93" s="17" t="s">
        <v>188</v>
      </c>
      <c r="B93" s="74"/>
      <c r="C93" s="75" t="s">
        <v>555</v>
      </c>
      <c r="D93" s="76"/>
      <c r="E93" s="43">
        <v>115.94</v>
      </c>
      <c r="F93" s="77"/>
      <c r="G93" s="78"/>
      <c r="H93" s="78"/>
      <c r="I93" s="78"/>
      <c r="J93" s="78"/>
      <c r="K93" s="79"/>
      <c r="L93" s="23" t="s">
        <v>33</v>
      </c>
    </row>
    <row r="94" spans="1:12" x14ac:dyDescent="0.25">
      <c r="A94" s="17" t="s">
        <v>42</v>
      </c>
      <c r="B94" s="74"/>
      <c r="C94" s="75" t="s">
        <v>492</v>
      </c>
      <c r="D94" s="76"/>
      <c r="E94" s="43">
        <v>428.67</v>
      </c>
      <c r="F94" s="77"/>
      <c r="G94" s="78"/>
      <c r="H94" s="78"/>
      <c r="I94" s="78"/>
      <c r="J94" s="78"/>
      <c r="K94" s="79"/>
      <c r="L94" s="23" t="s">
        <v>33</v>
      </c>
    </row>
    <row r="95" spans="1:12" x14ac:dyDescent="0.25">
      <c r="A95" s="17" t="s">
        <v>199</v>
      </c>
      <c r="B95" s="74"/>
      <c r="C95" s="75" t="s">
        <v>614</v>
      </c>
      <c r="D95" s="76"/>
      <c r="E95" s="43">
        <v>333.64</v>
      </c>
      <c r="F95" s="77"/>
      <c r="G95" s="78"/>
      <c r="H95" s="78"/>
      <c r="I95" s="78"/>
      <c r="J95" s="78"/>
      <c r="K95" s="79"/>
      <c r="L95" s="23" t="s">
        <v>33</v>
      </c>
    </row>
    <row r="96" spans="1:12" x14ac:dyDescent="0.25">
      <c r="A96" s="17" t="s">
        <v>200</v>
      </c>
      <c r="B96" s="143" t="s">
        <v>615</v>
      </c>
      <c r="C96" s="144"/>
      <c r="D96" s="158"/>
      <c r="E96" s="43">
        <v>595.99</v>
      </c>
      <c r="F96" s="159"/>
      <c r="G96" s="160"/>
      <c r="H96" s="160"/>
      <c r="I96" s="160"/>
      <c r="J96" s="160"/>
      <c r="K96" s="161"/>
      <c r="L96" s="17" t="s">
        <v>33</v>
      </c>
    </row>
    <row r="97" spans="1:12" x14ac:dyDescent="0.25">
      <c r="A97" s="17" t="s">
        <v>204</v>
      </c>
      <c r="B97" s="74"/>
      <c r="C97" s="75" t="s">
        <v>203</v>
      </c>
      <c r="D97" s="76"/>
      <c r="E97" s="43">
        <v>1201.27</v>
      </c>
      <c r="F97" s="77"/>
      <c r="G97" s="78"/>
      <c r="H97" s="78"/>
      <c r="I97" s="78"/>
      <c r="J97" s="78"/>
      <c r="K97" s="79"/>
      <c r="L97" s="17" t="s">
        <v>33</v>
      </c>
    </row>
    <row r="98" spans="1:12" x14ac:dyDescent="0.25">
      <c r="A98" s="17" t="s">
        <v>93</v>
      </c>
      <c r="B98" s="74"/>
      <c r="C98" s="75" t="s">
        <v>528</v>
      </c>
      <c r="D98" s="76"/>
      <c r="E98" s="43">
        <v>481.24</v>
      </c>
      <c r="F98" s="77"/>
      <c r="G98" s="78"/>
      <c r="H98" s="78"/>
      <c r="I98" s="78"/>
      <c r="J98" s="78"/>
      <c r="K98" s="79"/>
      <c r="L98" s="17" t="s">
        <v>33</v>
      </c>
    </row>
    <row r="99" spans="1:12" x14ac:dyDescent="0.25">
      <c r="A99" s="17" t="s">
        <v>205</v>
      </c>
      <c r="B99" s="74"/>
      <c r="C99" s="75" t="s">
        <v>616</v>
      </c>
      <c r="D99" s="76"/>
      <c r="E99" s="43">
        <v>388.44</v>
      </c>
      <c r="F99" s="77"/>
      <c r="G99" s="78"/>
      <c r="H99" s="78"/>
      <c r="I99" s="78"/>
      <c r="J99" s="78"/>
      <c r="K99" s="79"/>
      <c r="L99" s="17" t="s">
        <v>33</v>
      </c>
    </row>
    <row r="100" spans="1:12" x14ac:dyDescent="0.25">
      <c r="A100" s="17" t="s">
        <v>206</v>
      </c>
      <c r="B100" s="74"/>
      <c r="C100" s="75" t="s">
        <v>617</v>
      </c>
      <c r="D100" s="76"/>
      <c r="E100" s="43">
        <v>983.92</v>
      </c>
      <c r="F100" s="77"/>
      <c r="G100" s="78"/>
      <c r="H100" s="78"/>
      <c r="I100" s="78"/>
      <c r="J100" s="78"/>
      <c r="K100" s="79"/>
      <c r="L100" s="17" t="s">
        <v>33</v>
      </c>
    </row>
    <row r="101" spans="1:12" x14ac:dyDescent="0.25">
      <c r="A101" s="17" t="s">
        <v>208</v>
      </c>
      <c r="B101" s="74"/>
      <c r="C101" s="75" t="s">
        <v>207</v>
      </c>
      <c r="D101" s="76"/>
      <c r="E101" s="43">
        <v>11177.41</v>
      </c>
      <c r="F101" s="77"/>
      <c r="G101" s="78"/>
      <c r="H101" s="78"/>
      <c r="I101" s="78"/>
      <c r="J101" s="78"/>
      <c r="K101" s="79"/>
      <c r="L101" s="17" t="s">
        <v>33</v>
      </c>
    </row>
    <row r="102" spans="1:12" x14ac:dyDescent="0.25">
      <c r="A102" s="17" t="s">
        <v>209</v>
      </c>
      <c r="B102" s="74"/>
      <c r="C102" s="75" t="s">
        <v>618</v>
      </c>
      <c r="D102" s="76"/>
      <c r="E102" s="43">
        <v>216.67</v>
      </c>
      <c r="F102" s="77"/>
      <c r="G102" s="78"/>
      <c r="H102" s="78"/>
      <c r="I102" s="78"/>
      <c r="J102" s="78"/>
      <c r="K102" s="79"/>
      <c r="L102" s="17" t="s">
        <v>33</v>
      </c>
    </row>
    <row r="103" spans="1:12" x14ac:dyDescent="0.25">
      <c r="A103" s="17" t="s">
        <v>212</v>
      </c>
      <c r="B103" s="74"/>
      <c r="C103" s="75" t="s">
        <v>619</v>
      </c>
      <c r="D103" s="76"/>
      <c r="E103" s="43">
        <v>300.16000000000003</v>
      </c>
      <c r="F103" s="77"/>
      <c r="G103" s="78"/>
      <c r="H103" s="78"/>
      <c r="I103" s="78"/>
      <c r="J103" s="78"/>
      <c r="K103" s="79"/>
      <c r="L103" s="17" t="s">
        <v>33</v>
      </c>
    </row>
    <row r="104" spans="1:12" x14ac:dyDescent="0.25">
      <c r="A104" s="17" t="s">
        <v>213</v>
      </c>
      <c r="B104" s="74"/>
      <c r="C104" s="75" t="s">
        <v>552</v>
      </c>
      <c r="D104" s="76"/>
      <c r="E104" s="43">
        <v>782.04</v>
      </c>
      <c r="F104" s="77"/>
      <c r="G104" s="78"/>
      <c r="H104" s="78"/>
      <c r="I104" s="78"/>
      <c r="J104" s="78"/>
      <c r="K104" s="79"/>
      <c r="L104" s="17" t="s">
        <v>33</v>
      </c>
    </row>
    <row r="105" spans="1:12" x14ac:dyDescent="0.25">
      <c r="A105" s="17" t="s">
        <v>215</v>
      </c>
      <c r="B105" s="74"/>
      <c r="C105" s="75" t="s">
        <v>214</v>
      </c>
      <c r="D105" s="76"/>
      <c r="E105" s="43">
        <v>177.08</v>
      </c>
      <c r="F105" s="77"/>
      <c r="G105" s="78"/>
      <c r="H105" s="78"/>
      <c r="I105" s="78"/>
      <c r="J105" s="78"/>
      <c r="K105" s="79"/>
      <c r="L105" s="17" t="s">
        <v>33</v>
      </c>
    </row>
    <row r="106" spans="1:12" x14ac:dyDescent="0.25">
      <c r="A106" s="17" t="s">
        <v>219</v>
      </c>
      <c r="B106" s="74"/>
      <c r="C106" s="75" t="s">
        <v>620</v>
      </c>
      <c r="D106" s="76"/>
      <c r="E106" s="43">
        <v>966.56</v>
      </c>
      <c r="F106" s="77"/>
      <c r="G106" s="78"/>
      <c r="H106" s="78"/>
      <c r="I106" s="78"/>
      <c r="J106" s="78"/>
      <c r="K106" s="79"/>
      <c r="L106" s="17" t="s">
        <v>33</v>
      </c>
    </row>
    <row r="107" spans="1:12" x14ac:dyDescent="0.25">
      <c r="A107" s="17" t="s">
        <v>92</v>
      </c>
      <c r="B107" s="74"/>
      <c r="C107" s="75" t="s">
        <v>621</v>
      </c>
      <c r="D107" s="76"/>
      <c r="E107" s="43">
        <v>650.09</v>
      </c>
      <c r="F107" s="77"/>
      <c r="G107" s="78"/>
      <c r="H107" s="78"/>
      <c r="I107" s="78"/>
      <c r="J107" s="78"/>
      <c r="K107" s="79"/>
      <c r="L107" s="17" t="s">
        <v>33</v>
      </c>
    </row>
    <row r="108" spans="1:12" x14ac:dyDescent="0.25">
      <c r="A108" s="17" t="s">
        <v>220</v>
      </c>
      <c r="B108" s="74"/>
      <c r="C108" s="75" t="s">
        <v>622</v>
      </c>
      <c r="D108" s="76"/>
      <c r="E108" s="87" t="s">
        <v>623</v>
      </c>
      <c r="F108" s="77"/>
      <c r="G108" s="78"/>
      <c r="H108" s="78"/>
      <c r="I108" s="78"/>
      <c r="J108" s="78"/>
      <c r="K108" s="79"/>
      <c r="L108" s="17" t="s">
        <v>33</v>
      </c>
    </row>
    <row r="109" spans="1:12" x14ac:dyDescent="0.25">
      <c r="A109" s="17" t="s">
        <v>226</v>
      </c>
      <c r="B109" s="74"/>
      <c r="C109" s="75" t="s">
        <v>624</v>
      </c>
      <c r="D109" s="76"/>
      <c r="E109" s="43">
        <v>949.47</v>
      </c>
      <c r="F109" s="77"/>
      <c r="G109" s="78"/>
      <c r="H109" s="78"/>
      <c r="I109" s="78"/>
      <c r="J109" s="78"/>
      <c r="K109" s="79"/>
      <c r="L109" s="17" t="s">
        <v>33</v>
      </c>
    </row>
    <row r="110" spans="1:12" x14ac:dyDescent="0.25">
      <c r="A110" s="17" t="s">
        <v>227</v>
      </c>
      <c r="B110" s="74"/>
      <c r="C110" s="75" t="s">
        <v>625</v>
      </c>
      <c r="D110" s="76"/>
      <c r="E110" s="43">
        <v>838.5</v>
      </c>
      <c r="F110" s="77"/>
      <c r="G110" s="78"/>
      <c r="H110" s="78"/>
      <c r="I110" s="78"/>
      <c r="J110" s="78"/>
      <c r="K110" s="79"/>
      <c r="L110" s="17" t="s">
        <v>33</v>
      </c>
    </row>
    <row r="111" spans="1:12" x14ac:dyDescent="0.25">
      <c r="A111" s="17" t="s">
        <v>228</v>
      </c>
      <c r="B111" s="74"/>
      <c r="C111" s="75" t="s">
        <v>626</v>
      </c>
      <c r="D111" s="76"/>
      <c r="E111" s="43">
        <v>899.02</v>
      </c>
      <c r="F111" s="77"/>
      <c r="G111" s="78"/>
      <c r="H111" s="78"/>
      <c r="I111" s="78"/>
      <c r="J111" s="78"/>
      <c r="K111" s="79"/>
      <c r="L111" s="17" t="s">
        <v>33</v>
      </c>
    </row>
    <row r="112" spans="1:12" x14ac:dyDescent="0.25">
      <c r="A112" s="17" t="s">
        <v>190</v>
      </c>
      <c r="B112" s="74"/>
      <c r="C112" s="75" t="s">
        <v>541</v>
      </c>
      <c r="D112" s="76"/>
      <c r="E112" s="43">
        <v>365.53</v>
      </c>
      <c r="F112" s="77"/>
      <c r="G112" s="78"/>
      <c r="H112" s="78"/>
      <c r="I112" s="78"/>
      <c r="J112" s="78"/>
      <c r="K112" s="79"/>
      <c r="L112" s="17" t="s">
        <v>33</v>
      </c>
    </row>
    <row r="113" spans="1:12" x14ac:dyDescent="0.25">
      <c r="A113" s="17" t="s">
        <v>230</v>
      </c>
      <c r="B113" s="74"/>
      <c r="C113" s="75" t="s">
        <v>627</v>
      </c>
      <c r="D113" s="76"/>
      <c r="E113" s="43">
        <v>357.88</v>
      </c>
      <c r="F113" s="77"/>
      <c r="G113" s="78"/>
      <c r="H113" s="78"/>
      <c r="I113" s="78"/>
      <c r="J113" s="78"/>
      <c r="K113" s="79"/>
      <c r="L113" s="17" t="s">
        <v>33</v>
      </c>
    </row>
    <row r="114" spans="1:12" x14ac:dyDescent="0.25">
      <c r="A114" s="17" t="s">
        <v>140</v>
      </c>
      <c r="B114" s="74"/>
      <c r="C114" s="75" t="s">
        <v>556</v>
      </c>
      <c r="D114" s="76"/>
      <c r="E114" s="43">
        <v>574.29</v>
      </c>
      <c r="F114" s="77"/>
      <c r="G114" s="78"/>
      <c r="H114" s="78"/>
      <c r="I114" s="78"/>
      <c r="J114" s="78"/>
      <c r="K114" s="79"/>
      <c r="L114" s="17" t="s">
        <v>33</v>
      </c>
    </row>
    <row r="115" spans="1:12" x14ac:dyDescent="0.25">
      <c r="A115" s="17" t="s">
        <v>235</v>
      </c>
      <c r="B115" s="74"/>
      <c r="C115" s="75" t="s">
        <v>234</v>
      </c>
      <c r="D115" s="76"/>
      <c r="E115" s="43">
        <v>825.26</v>
      </c>
      <c r="F115" s="77"/>
      <c r="G115" s="78"/>
      <c r="H115" s="78"/>
      <c r="I115" s="78"/>
      <c r="J115" s="78"/>
      <c r="K115" s="79"/>
      <c r="L115" s="17" t="s">
        <v>33</v>
      </c>
    </row>
    <row r="116" spans="1:12" x14ac:dyDescent="0.25">
      <c r="A116" s="17"/>
      <c r="B116" s="143"/>
      <c r="C116" s="144"/>
      <c r="D116" s="158"/>
      <c r="E116" s="43"/>
      <c r="F116" s="159"/>
      <c r="G116" s="160"/>
      <c r="H116" s="160"/>
      <c r="I116" s="160"/>
      <c r="J116" s="160"/>
      <c r="K116" s="161"/>
      <c r="L116" s="17"/>
    </row>
    <row r="117" spans="1:12" x14ac:dyDescent="0.25">
      <c r="A117" s="17"/>
      <c r="B117" s="143"/>
      <c r="C117" s="144"/>
      <c r="D117" s="158"/>
      <c r="E117" s="43"/>
      <c r="F117" s="159"/>
      <c r="G117" s="160"/>
      <c r="H117" s="160"/>
      <c r="I117" s="160"/>
      <c r="J117" s="160"/>
      <c r="K117" s="161"/>
      <c r="L117" s="17"/>
    </row>
    <row r="118" spans="1:12" ht="16.5" thickBot="1" x14ac:dyDescent="0.3">
      <c r="A118" s="26"/>
      <c r="B118" s="149"/>
      <c r="C118" s="150"/>
      <c r="D118" s="169"/>
      <c r="E118" s="45"/>
      <c r="F118" s="170"/>
      <c r="G118" s="171"/>
      <c r="H118" s="171"/>
      <c r="I118" s="171"/>
      <c r="J118" s="171"/>
      <c r="K118" s="172"/>
      <c r="L118" s="26"/>
    </row>
    <row r="119" spans="1:12" x14ac:dyDescent="0.25">
      <c r="A119" s="68"/>
      <c r="B119" s="69"/>
      <c r="C119" s="46"/>
      <c r="D119" s="46"/>
      <c r="F119" s="47"/>
      <c r="G119" s="47"/>
      <c r="H119" s="47"/>
      <c r="I119" s="47"/>
      <c r="J119" s="47"/>
      <c r="K119" s="47"/>
    </row>
    <row r="120" spans="1:12" x14ac:dyDescent="0.25">
      <c r="B120" s="176" t="s">
        <v>464</v>
      </c>
      <c r="C120" s="176"/>
      <c r="D120" s="176"/>
      <c r="E120" s="6">
        <f>SUM(E38:E46)</f>
        <v>1076.3499999999999</v>
      </c>
      <c r="F120" s="6"/>
      <c r="G120" s="6"/>
      <c r="H120" s="6"/>
      <c r="I120" s="6"/>
      <c r="J120" s="6"/>
      <c r="K120" s="6"/>
    </row>
    <row r="121" spans="1:12" x14ac:dyDescent="0.25">
      <c r="B121" s="176" t="s">
        <v>465</v>
      </c>
      <c r="C121" s="176"/>
      <c r="D121" s="176"/>
      <c r="E121" s="6">
        <f>SUM(E20:E36)</f>
        <v>9794.8499999999985</v>
      </c>
    </row>
    <row r="122" spans="1:12" x14ac:dyDescent="0.25">
      <c r="B122" s="176" t="s">
        <v>466</v>
      </c>
      <c r="C122" s="176"/>
      <c r="D122" s="176"/>
      <c r="E122" s="6">
        <f>SUM(E48:E56)</f>
        <v>1172.44</v>
      </c>
    </row>
    <row r="127" spans="1:12" ht="18.75" x14ac:dyDescent="0.3">
      <c r="B127" s="48"/>
    </row>
  </sheetData>
  <mergeCells count="163"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2:K12"/>
    <mergeCell ref="I13:K13"/>
    <mergeCell ref="I9:K9"/>
    <mergeCell ref="I10:K10"/>
    <mergeCell ref="I11:K11"/>
    <mergeCell ref="I6:J6"/>
    <mergeCell ref="K6:L6"/>
    <mergeCell ref="I7:J7"/>
    <mergeCell ref="K7:L7"/>
    <mergeCell ref="I14:K14"/>
    <mergeCell ref="B24:D24"/>
    <mergeCell ref="H24:K24"/>
    <mergeCell ref="B25:D25"/>
    <mergeCell ref="H25:K25"/>
    <mergeCell ref="B21:D21"/>
    <mergeCell ref="H21:K21"/>
    <mergeCell ref="B22:D22"/>
    <mergeCell ref="H22:K22"/>
    <mergeCell ref="B23:D23"/>
    <mergeCell ref="H23:K23"/>
    <mergeCell ref="I15:K15"/>
    <mergeCell ref="B19:D19"/>
    <mergeCell ref="H19:K19"/>
    <mergeCell ref="B20:D20"/>
    <mergeCell ref="H20:K20"/>
    <mergeCell ref="A18:L18"/>
    <mergeCell ref="B29:D29"/>
    <mergeCell ref="H29:K29"/>
    <mergeCell ref="B30:D30"/>
    <mergeCell ref="H30:K30"/>
    <mergeCell ref="B31:D31"/>
    <mergeCell ref="H31:K31"/>
    <mergeCell ref="B26:D26"/>
    <mergeCell ref="H26:K26"/>
    <mergeCell ref="B27:D27"/>
    <mergeCell ref="H27:K27"/>
    <mergeCell ref="B28:D28"/>
    <mergeCell ref="H28:K28"/>
    <mergeCell ref="B35:D35"/>
    <mergeCell ref="H35:K35"/>
    <mergeCell ref="B36:D36"/>
    <mergeCell ref="H36:K36"/>
    <mergeCell ref="B37:D37"/>
    <mergeCell ref="F37:K37"/>
    <mergeCell ref="B32:D32"/>
    <mergeCell ref="H32:K32"/>
    <mergeCell ref="B33:D33"/>
    <mergeCell ref="H33:K33"/>
    <mergeCell ref="B34:D34"/>
    <mergeCell ref="H34:K34"/>
    <mergeCell ref="B41:D41"/>
    <mergeCell ref="F41:K41"/>
    <mergeCell ref="B42:D42"/>
    <mergeCell ref="F42:K42"/>
    <mergeCell ref="B43:D43"/>
    <mergeCell ref="F43:K43"/>
    <mergeCell ref="B38:D38"/>
    <mergeCell ref="F38:K38"/>
    <mergeCell ref="B39:D39"/>
    <mergeCell ref="F39:K39"/>
    <mergeCell ref="B40:D40"/>
    <mergeCell ref="F40:K40"/>
    <mergeCell ref="B47:D47"/>
    <mergeCell ref="F47:K47"/>
    <mergeCell ref="B48:D48"/>
    <mergeCell ref="F48:K48"/>
    <mergeCell ref="B52:D52"/>
    <mergeCell ref="F52:K52"/>
    <mergeCell ref="B44:D44"/>
    <mergeCell ref="F44:K44"/>
    <mergeCell ref="B45:D45"/>
    <mergeCell ref="F45:K45"/>
    <mergeCell ref="B46:D46"/>
    <mergeCell ref="F46:K46"/>
    <mergeCell ref="B49:D49"/>
    <mergeCell ref="B50:D50"/>
    <mergeCell ref="F50:K50"/>
    <mergeCell ref="B51:D51"/>
    <mergeCell ref="F51:K51"/>
    <mergeCell ref="B73:D73"/>
    <mergeCell ref="F73:K73"/>
    <mergeCell ref="B74:D74"/>
    <mergeCell ref="F74:K74"/>
    <mergeCell ref="B53:D53"/>
    <mergeCell ref="F53:K53"/>
    <mergeCell ref="B67:D67"/>
    <mergeCell ref="F67:K67"/>
    <mergeCell ref="B68:D68"/>
    <mergeCell ref="F68:K68"/>
    <mergeCell ref="B54:D54"/>
    <mergeCell ref="F54:K54"/>
    <mergeCell ref="B55:D55"/>
    <mergeCell ref="F55:K55"/>
    <mergeCell ref="B56:D56"/>
    <mergeCell ref="F56:K56"/>
    <mergeCell ref="B57:D57"/>
    <mergeCell ref="F57:K57"/>
    <mergeCell ref="B58:D58"/>
    <mergeCell ref="F58:K58"/>
    <mergeCell ref="B66:D66"/>
    <mergeCell ref="F66:K66"/>
    <mergeCell ref="B72:D72"/>
    <mergeCell ref="F72:K72"/>
    <mergeCell ref="B80:D80"/>
    <mergeCell ref="F80:K80"/>
    <mergeCell ref="B81:D81"/>
    <mergeCell ref="F81:K81"/>
    <mergeCell ref="B82:D82"/>
    <mergeCell ref="F82:K82"/>
    <mergeCell ref="B75:D75"/>
    <mergeCell ref="F75:K75"/>
    <mergeCell ref="B76:D76"/>
    <mergeCell ref="F76:K76"/>
    <mergeCell ref="B77:D77"/>
    <mergeCell ref="F77:K77"/>
    <mergeCell ref="B78:D78"/>
    <mergeCell ref="F78:K78"/>
    <mergeCell ref="B79:D79"/>
    <mergeCell ref="F79:K79"/>
    <mergeCell ref="B122:D122"/>
    <mergeCell ref="B120:D120"/>
    <mergeCell ref="B121:D121"/>
    <mergeCell ref="B117:D117"/>
    <mergeCell ref="F117:K117"/>
    <mergeCell ref="B118:D118"/>
    <mergeCell ref="F118:K118"/>
    <mergeCell ref="B83:D83"/>
    <mergeCell ref="F83:K83"/>
    <mergeCell ref="B96:D96"/>
    <mergeCell ref="F96:K96"/>
    <mergeCell ref="B116:D116"/>
    <mergeCell ref="F116:K116"/>
    <mergeCell ref="B69:D69"/>
    <mergeCell ref="F69:K69"/>
    <mergeCell ref="H49:K49"/>
    <mergeCell ref="B70:D70"/>
    <mergeCell ref="F70:K70"/>
    <mergeCell ref="B71:D71"/>
    <mergeCell ref="F71:K71"/>
    <mergeCell ref="B59:D59"/>
    <mergeCell ref="F59:K59"/>
    <mergeCell ref="B60:D60"/>
    <mergeCell ref="F60:K60"/>
    <mergeCell ref="B64:D64"/>
    <mergeCell ref="F64:K64"/>
    <mergeCell ref="B65:D65"/>
    <mergeCell ref="F65:K65"/>
    <mergeCell ref="B61:D61"/>
    <mergeCell ref="F61:K61"/>
    <mergeCell ref="B62:D62"/>
    <mergeCell ref="F62:K62"/>
    <mergeCell ref="B63:D63"/>
    <mergeCell ref="F63:K63"/>
  </mergeCells>
  <phoneticPr fontId="10" type="noConversion"/>
  <conditionalFormatting sqref="A18:A19 B19:H36 L19:XFD36 L59:XFD73 B69:K73 B74:XFD75 B80:XFD124">
    <cfRule type="cellIs" dxfId="516" priority="1" stopIfTrue="1" operator="equal">
      <formula>"OK"</formula>
    </cfRule>
  </conditionalFormatting>
  <conditionalFormatting sqref="A125:XFD1048576">
    <cfRule type="cellIs" dxfId="515" priority="13" stopIfTrue="1" operator="equal">
      <formula>"OK"</formula>
    </cfRule>
  </conditionalFormatting>
  <conditionalFormatting sqref="B48:B51 B20:H36">
    <cfRule type="expression" dxfId="514" priority="20">
      <formula>$J20="ancien paiement"</formula>
    </cfRule>
  </conditionalFormatting>
  <conditionalFormatting sqref="B59:B68 E59:F68 B76:D76 E76:F77 B77 B78:XFD78 B79 E79:F79 B37:XFD46 B57:XFD58 B1:J1 M1:XFD1 A2:XFD2 E3 G3:I3 M3:XFD3 B3:D6 K4 P4:XFD7 K5:L7 B7:I7 B8:D8 F8 I8 M8:XFD8 L9:XFD16 A17:XFD17 M18:XFD18 M47:XFD56 L76:XFD77 L79:XFD79">
    <cfRule type="cellIs" dxfId="513" priority="22" stopIfTrue="1" operator="equal">
      <formula>"OK"</formula>
    </cfRule>
  </conditionalFormatting>
  <conditionalFormatting sqref="B9:I16">
    <cfRule type="cellIs" dxfId="512" priority="11" stopIfTrue="1" operator="equal">
      <formula>"OK"</formula>
    </cfRule>
  </conditionalFormatting>
  <conditionalFormatting sqref="B38:K38">
    <cfRule type="expression" dxfId="511" priority="18">
      <formula>$J38="ancien paiement"</formula>
    </cfRule>
  </conditionalFormatting>
  <conditionalFormatting sqref="B38:K47 B48:B51">
    <cfRule type="expression" dxfId="510" priority="5">
      <formula>$F38="ancien paiement"</formula>
    </cfRule>
  </conditionalFormatting>
  <conditionalFormatting sqref="B40:K47">
    <cfRule type="expression" dxfId="509" priority="6">
      <formula>$J40="ancien paiement"</formula>
    </cfRule>
  </conditionalFormatting>
  <conditionalFormatting sqref="B69:K73 B59:B68 E59:F68 B76:D76 E76:F77 B77 B78:K78 B79 E79:F79">
    <cfRule type="expression" dxfId="508" priority="19">
      <formula>$F59="ancien paiement"</formula>
    </cfRule>
    <cfRule type="expression" dxfId="507" priority="21">
      <formula>$J59="ancien paiement"</formula>
    </cfRule>
  </conditionalFormatting>
  <conditionalFormatting sqref="B75:K75">
    <cfRule type="expression" dxfId="506" priority="14">
      <formula>$F75="ancien paiement"</formula>
    </cfRule>
    <cfRule type="expression" dxfId="505" priority="15">
      <formula>$J75="ancien paiement"</formula>
    </cfRule>
  </conditionalFormatting>
  <conditionalFormatting sqref="B80:K118 B53:K58">
    <cfRule type="expression" dxfId="504" priority="7">
      <formula>$F53="ancien paiement"</formula>
    </cfRule>
    <cfRule type="expression" dxfId="503" priority="8">
      <formula>$J53="ancien paiement"</formula>
    </cfRule>
  </conditionalFormatting>
  <conditionalFormatting sqref="B50:L56 B47:L48 B49:D49 L49">
    <cfRule type="cellIs" dxfId="502" priority="9" stopIfTrue="1" operator="equal">
      <formula>"OK"</formula>
    </cfRule>
  </conditionalFormatting>
  <conditionalFormatting sqref="E48">
    <cfRule type="expression" dxfId="501" priority="10">
      <formula>#REF!="ancien paiement"</formula>
    </cfRule>
  </conditionalFormatting>
  <conditionalFormatting sqref="E48:F51">
    <cfRule type="expression" dxfId="500" priority="2">
      <formula>$F48="ancien paiement"</formula>
    </cfRule>
    <cfRule type="expression" dxfId="499" priority="3">
      <formula>$J48="ancien paiement"</formula>
    </cfRule>
  </conditionalFormatting>
  <conditionalFormatting sqref="E49:H49">
    <cfRule type="cellIs" dxfId="498" priority="4" stopIfTrue="1" operator="equal">
      <formula>"OK"</formula>
    </cfRule>
  </conditionalFormatting>
  <conditionalFormatting sqref="E4:I6">
    <cfRule type="cellIs" dxfId="497" priority="12" stopIfTrue="1" operator="equal">
      <formula>"OK"</formula>
    </cfRule>
  </conditionalFormatting>
  <pageMargins left="0.7" right="0.7" top="0.75" bottom="0.75" header="0.3" footer="0.3"/>
  <pageSetup paperSize="9" scale="38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0D4B-8174-46FD-B76A-08CF44A45656}">
  <sheetPr>
    <pageSetUpPr fitToPage="1"/>
  </sheetPr>
  <dimension ref="A1:N89"/>
  <sheetViews>
    <sheetView topLeftCell="A48" workbookViewId="0">
      <selection activeCell="L16" sqref="L1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46120</v>
      </c>
      <c r="K1" s="105"/>
      <c r="L1" s="105"/>
    </row>
    <row r="2" spans="2:14" ht="16.5" thickBot="1" x14ac:dyDescent="0.3">
      <c r="G2" s="1" t="s">
        <v>628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629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10205</v>
      </c>
      <c r="G4" s="1" t="s">
        <v>630</v>
      </c>
      <c r="I4" s="112" t="s">
        <v>3</v>
      </c>
      <c r="J4" s="113"/>
      <c r="K4" s="114">
        <f>E82+C14</f>
        <v>10206.6</v>
      </c>
      <c r="L4" s="115"/>
      <c r="N4" s="6"/>
    </row>
    <row r="5" spans="2:14" ht="16.5" thickBot="1" x14ac:dyDescent="0.3">
      <c r="E5" s="7" t="s">
        <v>4</v>
      </c>
      <c r="F5" s="8">
        <v>4772.8500000000004</v>
      </c>
      <c r="G5" s="1" t="s">
        <v>631</v>
      </c>
      <c r="I5" s="95" t="s">
        <v>5</v>
      </c>
      <c r="J5" s="96"/>
      <c r="K5" s="97">
        <f>E15+E83</f>
        <v>4772.8500000000004</v>
      </c>
      <c r="L5" s="98"/>
      <c r="N5" s="6"/>
    </row>
    <row r="6" spans="2:14" ht="16.5" thickBot="1" x14ac:dyDescent="0.3">
      <c r="E6" s="9" t="s">
        <v>445</v>
      </c>
      <c r="F6" s="10">
        <v>1.7</v>
      </c>
      <c r="I6" s="95" t="s">
        <v>446</v>
      </c>
      <c r="J6" s="96"/>
      <c r="K6" s="97">
        <f>G15+E84</f>
        <v>24660.95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3250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2640</v>
      </c>
      <c r="D10" s="19" t="s">
        <v>471</v>
      </c>
      <c r="E10" s="49">
        <v>492.33</v>
      </c>
      <c r="F10" s="20" t="s">
        <v>9</v>
      </c>
      <c r="G10" s="21">
        <v>24660.95</v>
      </c>
      <c r="H10" s="6"/>
      <c r="I10" s="180" t="s">
        <v>546</v>
      </c>
      <c r="J10" s="181"/>
      <c r="K10" s="182"/>
      <c r="L10" s="80">
        <v>300</v>
      </c>
    </row>
    <row r="11" spans="2:14" ht="21.6" customHeight="1" x14ac:dyDescent="0.25">
      <c r="B11" s="17" t="s">
        <v>453</v>
      </c>
      <c r="C11" s="18">
        <v>2600</v>
      </c>
      <c r="D11" s="22" t="s">
        <v>632</v>
      </c>
      <c r="E11" s="50">
        <v>743.17</v>
      </c>
      <c r="F11" s="23" t="s">
        <v>454</v>
      </c>
      <c r="G11" s="24"/>
      <c r="H11" s="6"/>
      <c r="I11" s="183" t="s">
        <v>568</v>
      </c>
      <c r="J11" s="184"/>
      <c r="K11" s="185"/>
      <c r="L11" s="80">
        <v>80</v>
      </c>
    </row>
    <row r="12" spans="2:14" ht="21.6" customHeight="1" x14ac:dyDescent="0.25">
      <c r="B12" s="17" t="s">
        <v>455</v>
      </c>
      <c r="C12" s="18">
        <v>225</v>
      </c>
      <c r="D12" s="22"/>
      <c r="E12" s="50"/>
      <c r="F12" s="23"/>
      <c r="G12" s="24"/>
      <c r="H12" s="6"/>
      <c r="I12" s="183" t="s">
        <v>633</v>
      </c>
      <c r="J12" s="184"/>
      <c r="K12" s="185"/>
      <c r="L12" s="84">
        <v>80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634</v>
      </c>
      <c r="J13" s="141"/>
      <c r="K13" s="142"/>
      <c r="L13" s="24">
        <v>34.799999999999997</v>
      </c>
    </row>
    <row r="14" spans="2:14" ht="23.85" customHeight="1" x14ac:dyDescent="0.25">
      <c r="B14" s="25" t="s">
        <v>11</v>
      </c>
      <c r="C14" s="18">
        <f>SUM(C9:C13)</f>
        <v>8715</v>
      </c>
      <c r="D14" s="22"/>
      <c r="E14" s="50"/>
      <c r="F14" s="23"/>
      <c r="G14" s="24"/>
      <c r="H14" s="6"/>
      <c r="I14" s="140" t="s">
        <v>635</v>
      </c>
      <c r="J14" s="141"/>
      <c r="K14" s="142"/>
      <c r="L14" s="24">
        <v>3.8</v>
      </c>
    </row>
    <row r="15" spans="2:14" ht="24.6" customHeight="1" thickBot="1" x14ac:dyDescent="0.3">
      <c r="B15" s="26" t="s">
        <v>456</v>
      </c>
      <c r="C15" s="27">
        <v>366</v>
      </c>
      <c r="D15" s="28" t="s">
        <v>11</v>
      </c>
      <c r="E15" s="29">
        <f>SUM(E10:E14)</f>
        <v>1235.5</v>
      </c>
      <c r="F15" s="30" t="s">
        <v>11</v>
      </c>
      <c r="G15" s="31">
        <f>SUM(G10:G14)</f>
        <v>24660.95</v>
      </c>
      <c r="H15" s="6"/>
      <c r="I15" s="116" t="s">
        <v>457</v>
      </c>
      <c r="J15" s="117"/>
      <c r="K15" s="118"/>
      <c r="L15" s="32">
        <f>C15-'7'!C15</f>
        <v>-85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-413.6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241</v>
      </c>
      <c r="B20" s="128" t="s">
        <v>636</v>
      </c>
      <c r="C20" s="129"/>
      <c r="D20" s="130"/>
      <c r="E20" s="20">
        <v>291.91000000000003</v>
      </c>
      <c r="F20" s="12" t="s">
        <v>242</v>
      </c>
      <c r="G20" s="51">
        <v>3597</v>
      </c>
      <c r="H20" s="131"/>
      <c r="I20" s="132"/>
      <c r="J20" s="132"/>
      <c r="K20" s="133"/>
      <c r="L20" s="20" t="s">
        <v>71</v>
      </c>
    </row>
    <row r="21" spans="1:12" x14ac:dyDescent="0.25">
      <c r="A21" s="66" t="s">
        <v>244</v>
      </c>
      <c r="B21" s="143" t="s">
        <v>637</v>
      </c>
      <c r="C21" s="144"/>
      <c r="D21" s="145"/>
      <c r="E21" s="20">
        <v>465.96</v>
      </c>
      <c r="F21" s="23" t="s">
        <v>245</v>
      </c>
      <c r="G21" s="52">
        <v>7051121</v>
      </c>
      <c r="H21" s="146"/>
      <c r="I21" s="147"/>
      <c r="J21" s="147"/>
      <c r="K21" s="148"/>
      <c r="L21" s="23" t="s">
        <v>71</v>
      </c>
    </row>
    <row r="22" spans="1:12" x14ac:dyDescent="0.25">
      <c r="A22" s="66" t="s">
        <v>244</v>
      </c>
      <c r="B22" s="143" t="s">
        <v>637</v>
      </c>
      <c r="C22" s="144"/>
      <c r="D22" s="145"/>
      <c r="E22" s="20">
        <v>467.46</v>
      </c>
      <c r="F22" s="23" t="s">
        <v>245</v>
      </c>
      <c r="G22" s="52">
        <v>7051122</v>
      </c>
      <c r="H22" s="146" t="s">
        <v>638</v>
      </c>
      <c r="I22" s="147"/>
      <c r="J22" s="147"/>
      <c r="K22" s="148"/>
      <c r="L22" s="23" t="s">
        <v>71</v>
      </c>
    </row>
    <row r="23" spans="1:12" x14ac:dyDescent="0.25">
      <c r="A23" s="66" t="s">
        <v>247</v>
      </c>
      <c r="B23" s="143" t="s">
        <v>639</v>
      </c>
      <c r="C23" s="144"/>
      <c r="D23" s="145"/>
      <c r="E23" s="20">
        <v>461.41</v>
      </c>
      <c r="F23" s="23" t="s">
        <v>248</v>
      </c>
      <c r="G23" s="52">
        <v>2569200</v>
      </c>
      <c r="H23" s="146"/>
      <c r="I23" s="147"/>
      <c r="J23" s="147"/>
      <c r="K23" s="148"/>
      <c r="L23" s="23" t="s">
        <v>71</v>
      </c>
    </row>
    <row r="24" spans="1:12" x14ac:dyDescent="0.25">
      <c r="A24" s="17" t="s">
        <v>252</v>
      </c>
      <c r="B24" s="143" t="s">
        <v>640</v>
      </c>
      <c r="C24" s="144"/>
      <c r="D24" s="158"/>
      <c r="E24" s="20">
        <v>363.45</v>
      </c>
      <c r="F24" s="23" t="s">
        <v>248</v>
      </c>
      <c r="G24" s="52">
        <v>3684538</v>
      </c>
      <c r="H24" s="146"/>
      <c r="I24" s="147"/>
      <c r="J24" s="147"/>
      <c r="K24" s="148"/>
      <c r="L24" s="23" t="s">
        <v>71</v>
      </c>
    </row>
    <row r="25" spans="1:12" x14ac:dyDescent="0.25">
      <c r="A25" s="66" t="s">
        <v>262</v>
      </c>
      <c r="B25" s="143" t="s">
        <v>641</v>
      </c>
      <c r="C25" s="144"/>
      <c r="D25" s="145"/>
      <c r="E25" s="20">
        <v>549.34</v>
      </c>
      <c r="F25" s="23" t="s">
        <v>248</v>
      </c>
      <c r="G25" s="52">
        <v>8309673</v>
      </c>
      <c r="H25" s="146"/>
      <c r="I25" s="147"/>
      <c r="J25" s="147"/>
      <c r="K25" s="148"/>
      <c r="L25" s="23" t="s">
        <v>71</v>
      </c>
    </row>
    <row r="26" spans="1:12" x14ac:dyDescent="0.25">
      <c r="A26" s="66" t="s">
        <v>268</v>
      </c>
      <c r="B26" s="143" t="s">
        <v>269</v>
      </c>
      <c r="C26" s="144"/>
      <c r="D26" s="145"/>
      <c r="E26" s="20">
        <v>937.82</v>
      </c>
      <c r="F26" s="23" t="s">
        <v>248</v>
      </c>
      <c r="G26" s="52">
        <v>3885361</v>
      </c>
      <c r="H26" s="146"/>
      <c r="I26" s="147"/>
      <c r="J26" s="147"/>
      <c r="K26" s="148"/>
      <c r="L26" s="23" t="s">
        <v>71</v>
      </c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243</v>
      </c>
      <c r="B39" s="128" t="s">
        <v>642</v>
      </c>
      <c r="C39" s="129"/>
      <c r="D39" s="162"/>
      <c r="E39" s="41">
        <v>450.7</v>
      </c>
      <c r="F39" s="163"/>
      <c r="G39" s="164"/>
      <c r="H39" s="164"/>
      <c r="I39" s="164"/>
      <c r="J39" s="164"/>
      <c r="K39" s="165"/>
      <c r="L39" s="42" t="s">
        <v>71</v>
      </c>
    </row>
    <row r="40" spans="1:12" x14ac:dyDescent="0.25">
      <c r="A40" s="66" t="s">
        <v>259</v>
      </c>
      <c r="B40" s="143" t="s">
        <v>643</v>
      </c>
      <c r="C40" s="144"/>
      <c r="D40" s="158"/>
      <c r="E40" s="43">
        <v>960.9</v>
      </c>
      <c r="F40" s="159"/>
      <c r="G40" s="160"/>
      <c r="H40" s="160"/>
      <c r="I40" s="160"/>
      <c r="J40" s="160"/>
      <c r="K40" s="161"/>
      <c r="L40" s="23" t="s">
        <v>71</v>
      </c>
    </row>
    <row r="41" spans="1:12" x14ac:dyDescent="0.25">
      <c r="A41" s="66"/>
      <c r="B41" s="143" t="s">
        <v>644</v>
      </c>
      <c r="C41" s="144"/>
      <c r="D41" s="158"/>
      <c r="E41" s="43">
        <v>80</v>
      </c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246</v>
      </c>
      <c r="B66" s="128" t="s">
        <v>645</v>
      </c>
      <c r="C66" s="129"/>
      <c r="D66" s="162"/>
      <c r="E66" s="43">
        <v>399.47</v>
      </c>
      <c r="F66" s="163"/>
      <c r="G66" s="164"/>
      <c r="H66" s="164"/>
      <c r="I66" s="164"/>
      <c r="J66" s="164"/>
      <c r="K66" s="165"/>
      <c r="L66" s="23" t="s">
        <v>71</v>
      </c>
    </row>
    <row r="67" spans="1:12" x14ac:dyDescent="0.25">
      <c r="A67" s="17" t="s">
        <v>249</v>
      </c>
      <c r="B67" s="128" t="s">
        <v>646</v>
      </c>
      <c r="C67" s="129"/>
      <c r="D67" s="162"/>
      <c r="E67" s="43">
        <v>520.62</v>
      </c>
      <c r="F67" s="159"/>
      <c r="G67" s="160"/>
      <c r="H67" s="160"/>
      <c r="I67" s="160"/>
      <c r="J67" s="160"/>
      <c r="K67" s="161"/>
      <c r="L67" s="23" t="s">
        <v>71</v>
      </c>
    </row>
    <row r="68" spans="1:12" x14ac:dyDescent="0.25">
      <c r="A68" s="17" t="s">
        <v>250</v>
      </c>
      <c r="B68" s="143" t="s">
        <v>647</v>
      </c>
      <c r="C68" s="144"/>
      <c r="D68" s="158"/>
      <c r="E68" s="43">
        <v>968.16</v>
      </c>
      <c r="F68" s="159"/>
      <c r="G68" s="160"/>
      <c r="H68" s="160"/>
      <c r="I68" s="160"/>
      <c r="J68" s="160"/>
      <c r="K68" s="161"/>
      <c r="L68" s="23" t="s">
        <v>71</v>
      </c>
    </row>
    <row r="69" spans="1:12" x14ac:dyDescent="0.25">
      <c r="A69" s="17" t="s">
        <v>251</v>
      </c>
      <c r="B69" s="143" t="s">
        <v>648</v>
      </c>
      <c r="C69" s="144"/>
      <c r="D69" s="158"/>
      <c r="E69" s="43">
        <v>2506.23</v>
      </c>
      <c r="F69" s="159"/>
      <c r="G69" s="160"/>
      <c r="H69" s="160"/>
      <c r="I69" s="160"/>
      <c r="J69" s="160"/>
      <c r="K69" s="161"/>
      <c r="L69" s="23" t="s">
        <v>71</v>
      </c>
    </row>
    <row r="70" spans="1:12" x14ac:dyDescent="0.25">
      <c r="A70" s="17" t="s">
        <v>253</v>
      </c>
      <c r="B70" s="143" t="s">
        <v>649</v>
      </c>
      <c r="C70" s="144"/>
      <c r="D70" s="158"/>
      <c r="E70" s="43">
        <v>404.32</v>
      </c>
      <c r="F70" s="159"/>
      <c r="G70" s="160"/>
      <c r="H70" s="160"/>
      <c r="I70" s="160"/>
      <c r="J70" s="160"/>
      <c r="K70" s="161"/>
      <c r="L70" s="23" t="s">
        <v>71</v>
      </c>
    </row>
    <row r="71" spans="1:12" x14ac:dyDescent="0.25">
      <c r="A71" s="17" t="s">
        <v>254</v>
      </c>
      <c r="B71" s="143" t="s">
        <v>255</v>
      </c>
      <c r="C71" s="144"/>
      <c r="D71" s="158"/>
      <c r="E71" s="43">
        <v>159.6</v>
      </c>
      <c r="F71" s="159"/>
      <c r="G71" s="160"/>
      <c r="H71" s="160"/>
      <c r="I71" s="160"/>
      <c r="J71" s="160"/>
      <c r="K71" s="161"/>
      <c r="L71" s="23"/>
    </row>
    <row r="72" spans="1:12" x14ac:dyDescent="0.25">
      <c r="A72" s="17" t="s">
        <v>256</v>
      </c>
      <c r="B72" s="143" t="s">
        <v>650</v>
      </c>
      <c r="C72" s="144"/>
      <c r="D72" s="158"/>
      <c r="E72" s="43">
        <v>11671.32</v>
      </c>
      <c r="F72" s="159" t="s">
        <v>257</v>
      </c>
      <c r="G72" s="160"/>
      <c r="H72" s="160"/>
      <c r="I72" s="160"/>
      <c r="J72" s="160"/>
      <c r="K72" s="161"/>
      <c r="L72" s="23" t="s">
        <v>71</v>
      </c>
    </row>
    <row r="73" spans="1:12" x14ac:dyDescent="0.25">
      <c r="A73" s="17" t="s">
        <v>258</v>
      </c>
      <c r="B73" s="143" t="s">
        <v>651</v>
      </c>
      <c r="C73" s="144"/>
      <c r="D73" s="158"/>
      <c r="E73" s="43">
        <v>1888.85</v>
      </c>
      <c r="F73" s="159"/>
      <c r="G73" s="160"/>
      <c r="H73" s="160"/>
      <c r="I73" s="160"/>
      <c r="J73" s="160"/>
      <c r="K73" s="161"/>
      <c r="L73" s="23" t="s">
        <v>71</v>
      </c>
    </row>
    <row r="74" spans="1:12" x14ac:dyDescent="0.25">
      <c r="A74" s="17" t="s">
        <v>117</v>
      </c>
      <c r="B74" s="143" t="s">
        <v>652</v>
      </c>
      <c r="C74" s="144"/>
      <c r="D74" s="158"/>
      <c r="E74" s="43">
        <v>695.91</v>
      </c>
      <c r="F74" s="159"/>
      <c r="G74" s="160"/>
      <c r="H74" s="160"/>
      <c r="I74" s="160"/>
      <c r="J74" s="160"/>
      <c r="K74" s="161"/>
      <c r="L74" s="23" t="s">
        <v>71</v>
      </c>
    </row>
    <row r="75" spans="1:12" x14ac:dyDescent="0.25">
      <c r="A75" s="17" t="s">
        <v>260</v>
      </c>
      <c r="B75" s="143" t="s">
        <v>261</v>
      </c>
      <c r="C75" s="144"/>
      <c r="D75" s="158"/>
      <c r="E75" s="43">
        <v>358.06</v>
      </c>
      <c r="F75" s="159"/>
      <c r="G75" s="160"/>
      <c r="H75" s="160"/>
      <c r="I75" s="160"/>
      <c r="J75" s="160"/>
      <c r="K75" s="161"/>
      <c r="L75" s="17" t="s">
        <v>71</v>
      </c>
    </row>
    <row r="76" spans="1:12" x14ac:dyDescent="0.25">
      <c r="A76" s="17" t="s">
        <v>263</v>
      </c>
      <c r="B76" s="143" t="s">
        <v>556</v>
      </c>
      <c r="C76" s="144"/>
      <c r="D76" s="158"/>
      <c r="E76" s="43">
        <v>492.99</v>
      </c>
      <c r="F76" s="159"/>
      <c r="G76" s="160"/>
      <c r="H76" s="160"/>
      <c r="I76" s="160"/>
      <c r="J76" s="160"/>
      <c r="K76" s="161"/>
      <c r="L76" s="17" t="s">
        <v>71</v>
      </c>
    </row>
    <row r="77" spans="1:12" x14ac:dyDescent="0.25">
      <c r="A77" s="17" t="s">
        <v>264</v>
      </c>
      <c r="B77" s="143" t="s">
        <v>265</v>
      </c>
      <c r="C77" s="144"/>
      <c r="D77" s="158"/>
      <c r="E77" s="43">
        <v>429.57</v>
      </c>
      <c r="F77" s="159"/>
      <c r="G77" s="160"/>
      <c r="H77" s="160"/>
      <c r="I77" s="160"/>
      <c r="J77" s="160"/>
      <c r="K77" s="161"/>
      <c r="L77" s="17" t="s">
        <v>71</v>
      </c>
    </row>
    <row r="78" spans="1:12" x14ac:dyDescent="0.25">
      <c r="A78" s="17" t="s">
        <v>266</v>
      </c>
      <c r="B78" s="143" t="s">
        <v>267</v>
      </c>
      <c r="C78" s="144"/>
      <c r="D78" s="158"/>
      <c r="E78" s="43">
        <v>436.46</v>
      </c>
      <c r="F78" s="159"/>
      <c r="G78" s="160"/>
      <c r="H78" s="160"/>
      <c r="I78" s="160"/>
      <c r="J78" s="160"/>
      <c r="K78" s="161"/>
      <c r="L78" s="17" t="s">
        <v>71</v>
      </c>
    </row>
    <row r="79" spans="1:12" x14ac:dyDescent="0.25">
      <c r="A79" s="17" t="s">
        <v>270</v>
      </c>
      <c r="B79" s="143" t="s">
        <v>653</v>
      </c>
      <c r="C79" s="144"/>
      <c r="D79" s="158"/>
      <c r="E79" s="43">
        <v>464.84</v>
      </c>
      <c r="F79" s="159"/>
      <c r="G79" s="160"/>
      <c r="H79" s="160"/>
      <c r="I79" s="160"/>
      <c r="J79" s="160"/>
      <c r="K79" s="161"/>
      <c r="L79" s="17" t="s">
        <v>71</v>
      </c>
    </row>
    <row r="80" spans="1:12" ht="16.5" thickBot="1" x14ac:dyDescent="0.3">
      <c r="A80" s="26" t="s">
        <v>83</v>
      </c>
      <c r="B80" s="149" t="s">
        <v>654</v>
      </c>
      <c r="C80" s="150"/>
      <c r="D80" s="169"/>
      <c r="E80" s="45">
        <v>2523.35</v>
      </c>
      <c r="F80" s="170"/>
      <c r="G80" s="171"/>
      <c r="H80" s="171"/>
      <c r="I80" s="171"/>
      <c r="J80" s="171"/>
      <c r="K80" s="172"/>
      <c r="L80" s="26" t="s">
        <v>71</v>
      </c>
    </row>
    <row r="81" spans="1:11" x14ac:dyDescent="0.25">
      <c r="A81" s="68"/>
      <c r="B81" s="69"/>
      <c r="C81" s="46"/>
      <c r="D81" s="46"/>
      <c r="F81" s="47"/>
      <c r="G81" s="47"/>
      <c r="H81" s="47"/>
      <c r="I81" s="47"/>
      <c r="J81" s="47"/>
      <c r="K81" s="47"/>
    </row>
    <row r="82" spans="1:11" x14ac:dyDescent="0.25">
      <c r="B82" s="176" t="s">
        <v>464</v>
      </c>
      <c r="C82" s="176"/>
      <c r="D82" s="176"/>
      <c r="E82" s="6">
        <f>SUM(E39:E47)</f>
        <v>1491.6</v>
      </c>
      <c r="F82" s="6"/>
      <c r="G82" s="6"/>
      <c r="H82" s="6"/>
      <c r="I82" s="6"/>
      <c r="J82" s="6"/>
      <c r="K82" s="6"/>
    </row>
    <row r="83" spans="1:11" x14ac:dyDescent="0.25">
      <c r="B83" s="176" t="s">
        <v>465</v>
      </c>
      <c r="C83" s="176"/>
      <c r="D83" s="176"/>
      <c r="E83" s="6">
        <f>SUM(E20:E37)</f>
        <v>3537.3500000000004</v>
      </c>
    </row>
    <row r="84" spans="1:11" x14ac:dyDescent="0.25">
      <c r="B84" s="176" t="s">
        <v>466</v>
      </c>
      <c r="C84" s="176"/>
      <c r="D84" s="176"/>
      <c r="E84" s="6">
        <f>SUM(E49:E57)</f>
        <v>0</v>
      </c>
    </row>
    <row r="89" spans="1:11" ht="18.75" x14ac:dyDescent="0.3">
      <c r="B89" s="48"/>
    </row>
  </sheetData>
  <mergeCells count="149">
    <mergeCell ref="H25:K25"/>
    <mergeCell ref="B26:D26"/>
    <mergeCell ref="B30:D30"/>
    <mergeCell ref="H30:K30"/>
    <mergeCell ref="B33:D33"/>
    <mergeCell ref="H33:K33"/>
    <mergeCell ref="B34:D34"/>
    <mergeCell ref="H34:K34"/>
    <mergeCell ref="B35:D35"/>
    <mergeCell ref="H35:K35"/>
    <mergeCell ref="B31:D31"/>
    <mergeCell ref="H31:K31"/>
    <mergeCell ref="B32:D32"/>
    <mergeCell ref="H32:K32"/>
    <mergeCell ref="J1:L1"/>
    <mergeCell ref="E3:F3"/>
    <mergeCell ref="I3:L3"/>
    <mergeCell ref="I4:J4"/>
    <mergeCell ref="K4:L4"/>
    <mergeCell ref="I5:J5"/>
    <mergeCell ref="K5:L5"/>
    <mergeCell ref="I15:K15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8:C8"/>
    <mergeCell ref="D8:E8"/>
    <mergeCell ref="F8:G8"/>
    <mergeCell ref="B27:D27"/>
    <mergeCell ref="H27:K27"/>
    <mergeCell ref="B28:D28"/>
    <mergeCell ref="H28:K28"/>
    <mergeCell ref="B29:D29"/>
    <mergeCell ref="H29:K29"/>
    <mergeCell ref="H26:K26"/>
    <mergeCell ref="B21:D21"/>
    <mergeCell ref="H21:K21"/>
    <mergeCell ref="B22:D22"/>
    <mergeCell ref="H22:K22"/>
    <mergeCell ref="B23:D23"/>
    <mergeCell ref="H23:K23"/>
    <mergeCell ref="A18:L18"/>
    <mergeCell ref="B19:D19"/>
    <mergeCell ref="H19:K19"/>
    <mergeCell ref="B20:D20"/>
    <mergeCell ref="H20:K20"/>
    <mergeCell ref="B24:D24"/>
    <mergeCell ref="H24:K24"/>
    <mergeCell ref="B25:D25"/>
    <mergeCell ref="F39:K39"/>
    <mergeCell ref="B40:D40"/>
    <mergeCell ref="F40:K40"/>
    <mergeCell ref="B41:D41"/>
    <mergeCell ref="F41:K41"/>
    <mergeCell ref="B36:D36"/>
    <mergeCell ref="H36:K36"/>
    <mergeCell ref="B37:D37"/>
    <mergeCell ref="H37:K37"/>
    <mergeCell ref="B38:D38"/>
    <mergeCell ref="F38:K38"/>
    <mergeCell ref="B39:D39"/>
    <mergeCell ref="B45:D45"/>
    <mergeCell ref="F45:K45"/>
    <mergeCell ref="B46:D46"/>
    <mergeCell ref="F46:K46"/>
    <mergeCell ref="B47:D47"/>
    <mergeCell ref="F47:K47"/>
    <mergeCell ref="B42:D42"/>
    <mergeCell ref="F42:K42"/>
    <mergeCell ref="B43:D43"/>
    <mergeCell ref="F43:K43"/>
    <mergeCell ref="B44:D44"/>
    <mergeCell ref="F44:K44"/>
    <mergeCell ref="B51:D51"/>
    <mergeCell ref="F51:K51"/>
    <mergeCell ref="B52:D52"/>
    <mergeCell ref="F52:K52"/>
    <mergeCell ref="B53:D53"/>
    <mergeCell ref="F53:K53"/>
    <mergeCell ref="B48:D48"/>
    <mergeCell ref="F48:K48"/>
    <mergeCell ref="B49:D49"/>
    <mergeCell ref="F49:K49"/>
    <mergeCell ref="B50:D50"/>
    <mergeCell ref="F50:K50"/>
    <mergeCell ref="B57:D57"/>
    <mergeCell ref="F57:K57"/>
    <mergeCell ref="B58:D58"/>
    <mergeCell ref="F58:K58"/>
    <mergeCell ref="B59:D59"/>
    <mergeCell ref="F59:K59"/>
    <mergeCell ref="B54:D54"/>
    <mergeCell ref="F54:K54"/>
    <mergeCell ref="B55:D55"/>
    <mergeCell ref="F55:K55"/>
    <mergeCell ref="B56:D56"/>
    <mergeCell ref="F56:K56"/>
    <mergeCell ref="B63:D63"/>
    <mergeCell ref="F63:K63"/>
    <mergeCell ref="B64:D64"/>
    <mergeCell ref="F64:K64"/>
    <mergeCell ref="B65:D65"/>
    <mergeCell ref="F65:K65"/>
    <mergeCell ref="B60:D60"/>
    <mergeCell ref="F60:K60"/>
    <mergeCell ref="B61:D61"/>
    <mergeCell ref="F61:K61"/>
    <mergeCell ref="B62:D62"/>
    <mergeCell ref="F62:K62"/>
    <mergeCell ref="B70:D70"/>
    <mergeCell ref="F70:K70"/>
    <mergeCell ref="B71:D71"/>
    <mergeCell ref="F71:K71"/>
    <mergeCell ref="B72:D72"/>
    <mergeCell ref="F72:K72"/>
    <mergeCell ref="B66:D66"/>
    <mergeCell ref="F66:K66"/>
    <mergeCell ref="B67:D67"/>
    <mergeCell ref="F67:K67"/>
    <mergeCell ref="B68:D68"/>
    <mergeCell ref="F68:K68"/>
    <mergeCell ref="B69:D69"/>
    <mergeCell ref="F69:K69"/>
    <mergeCell ref="B84:D84"/>
    <mergeCell ref="B79:D79"/>
    <mergeCell ref="F79:K79"/>
    <mergeCell ref="B83:D83"/>
    <mergeCell ref="B73:D73"/>
    <mergeCell ref="F73:K73"/>
    <mergeCell ref="B74:D74"/>
    <mergeCell ref="F74:K74"/>
    <mergeCell ref="B75:D75"/>
    <mergeCell ref="F75:K75"/>
    <mergeCell ref="B76:D76"/>
    <mergeCell ref="F76:K76"/>
    <mergeCell ref="B80:D80"/>
    <mergeCell ref="F80:K80"/>
    <mergeCell ref="B82:D82"/>
    <mergeCell ref="B77:D77"/>
    <mergeCell ref="F77:K77"/>
    <mergeCell ref="B78:D78"/>
    <mergeCell ref="F78:K78"/>
  </mergeCells>
  <conditionalFormatting sqref="A18:A19">
    <cfRule type="cellIs" dxfId="496" priority="3" stopIfTrue="1" operator="equal">
      <formula>"OK"</formula>
    </cfRule>
  </conditionalFormatting>
  <conditionalFormatting sqref="A87:XFD1048576">
    <cfRule type="cellIs" dxfId="495" priority="15" stopIfTrue="1" operator="equal">
      <formula>"OK"</formula>
    </cfRule>
  </conditionalFormatting>
  <conditionalFormatting sqref="B24">
    <cfRule type="expression" dxfId="494" priority="1">
      <formula>$F24="ancien paiement"</formula>
    </cfRule>
    <cfRule type="expression" dxfId="493" priority="2">
      <formula>$J24="ancien paiement"</formula>
    </cfRule>
  </conditionalFormatting>
  <conditionalFormatting sqref="B49:B52 B20:H23 E24:H24 B25:H37">
    <cfRule type="expression" dxfId="492" priority="22">
      <formula>$J20="ancien paiement"</formula>
    </cfRule>
  </conditionalFormatting>
  <conditionalFormatting sqref="B60:B62 E60:F62 B67:D67 E67:F68 B68 B69:K69 B70 E70:F70 B71:K80">
    <cfRule type="expression" dxfId="491" priority="21">
      <formula>$F60="ancien paiement"</formula>
    </cfRule>
    <cfRule type="expression" dxfId="490" priority="23">
      <formula>$J60="ancien paiement"</formula>
    </cfRule>
  </conditionalFormatting>
  <conditionalFormatting sqref="B60:B62 E60:F62 B67:D67 E67:F68 B68 B69:XFD69 B70 E70:F70 B71:XFD86 B19:H23 E24:H24 B25:H37 B38:XFD47 B63:XFD66 B58:XFD59 B24 B1:J1 M1:XFD1 A2:XFD2 E3 G3:I3 M3:XFD3 B3:D6 K4 P4:XFD7 K5:L7 B7:I7 B8:D8 F8 I8 M8:XFD8 L9:XFD16 A17:XFD17 M18:XFD18 L19:XFD37 M48:XFD57 L60:XFD62 L67:XFD68 L70:XFD70">
    <cfRule type="cellIs" dxfId="489" priority="24" stopIfTrue="1" operator="equal">
      <formula>"OK"</formula>
    </cfRule>
  </conditionalFormatting>
  <conditionalFormatting sqref="B9:I16">
    <cfRule type="cellIs" dxfId="488" priority="13" stopIfTrue="1" operator="equal">
      <formula>"OK"</formula>
    </cfRule>
  </conditionalFormatting>
  <conditionalFormatting sqref="B39:K39">
    <cfRule type="expression" dxfId="487" priority="20">
      <formula>$J39="ancien paiement"</formula>
    </cfRule>
  </conditionalFormatting>
  <conditionalFormatting sqref="B39:K48 B49:B52">
    <cfRule type="expression" dxfId="486" priority="7">
      <formula>$F39="ancien paiement"</formula>
    </cfRule>
  </conditionalFormatting>
  <conditionalFormatting sqref="B41:K48">
    <cfRule type="expression" dxfId="485" priority="8">
      <formula>$J41="ancien paiement"</formula>
    </cfRule>
  </conditionalFormatting>
  <conditionalFormatting sqref="B54:K59">
    <cfRule type="expression" dxfId="484" priority="9">
      <formula>$F54="ancien paiement"</formula>
    </cfRule>
    <cfRule type="expression" dxfId="483" priority="10">
      <formula>$J54="ancien paiement"</formula>
    </cfRule>
  </conditionalFormatting>
  <conditionalFormatting sqref="B63:K64">
    <cfRule type="expression" dxfId="482" priority="18">
      <formula>$F63="ancien paiement"</formula>
    </cfRule>
    <cfRule type="expression" dxfId="481" priority="19">
      <formula>$J63="ancien paiement"</formula>
    </cfRule>
  </conditionalFormatting>
  <conditionalFormatting sqref="B66:K66">
    <cfRule type="expression" dxfId="480" priority="16">
      <formula>$F66="ancien paiement"</formula>
    </cfRule>
    <cfRule type="expression" dxfId="479" priority="17">
      <formula>$J66="ancien paiement"</formula>
    </cfRule>
  </conditionalFormatting>
  <conditionalFormatting sqref="B51:L57 B48:L49 B50:D50">
    <cfRule type="cellIs" dxfId="478" priority="11" stopIfTrue="1" operator="equal">
      <formula>"OK"</formula>
    </cfRule>
  </conditionalFormatting>
  <conditionalFormatting sqref="E49">
    <cfRule type="expression" dxfId="477" priority="12">
      <formula>#REF!="ancien paiement"</formula>
    </cfRule>
  </conditionalFormatting>
  <conditionalFormatting sqref="E49:F52">
    <cfRule type="expression" dxfId="476" priority="4">
      <formula>$F49="ancien paiement"</formula>
    </cfRule>
    <cfRule type="expression" dxfId="475" priority="5">
      <formula>$J49="ancien paiement"</formula>
    </cfRule>
  </conditionalFormatting>
  <conditionalFormatting sqref="E4:I6">
    <cfRule type="cellIs" dxfId="474" priority="14" stopIfTrue="1" operator="equal">
      <formula>"OK"</formula>
    </cfRule>
  </conditionalFormatting>
  <conditionalFormatting sqref="E50:L50">
    <cfRule type="cellIs" dxfId="473" priority="6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A623-EBEB-4DED-AD00-CCDA7F991DBB}">
  <sheetPr>
    <pageSetUpPr fitToPage="1"/>
  </sheetPr>
  <dimension ref="A1:N97"/>
  <sheetViews>
    <sheetView topLeftCell="A57" workbookViewId="0">
      <selection activeCell="C75" sqref="C7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46121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655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9085</v>
      </c>
      <c r="G4" s="1" t="s">
        <v>656</v>
      </c>
      <c r="I4" s="112" t="s">
        <v>3</v>
      </c>
      <c r="J4" s="113"/>
      <c r="K4" s="114">
        <f>E90+C14</f>
        <v>9089.25</v>
      </c>
      <c r="L4" s="115"/>
      <c r="N4" s="6"/>
    </row>
    <row r="5" spans="2:14" ht="16.5" thickBot="1" x14ac:dyDescent="0.3">
      <c r="E5" s="7" t="s">
        <v>4</v>
      </c>
      <c r="F5" s="8">
        <v>3332.54</v>
      </c>
      <c r="G5" s="1" t="s">
        <v>657</v>
      </c>
      <c r="I5" s="95" t="s">
        <v>5</v>
      </c>
      <c r="J5" s="96"/>
      <c r="K5" s="97">
        <f>E15+E91</f>
        <v>3332.54</v>
      </c>
      <c r="L5" s="98"/>
      <c r="N5" s="6"/>
    </row>
    <row r="6" spans="2:14" ht="16.5" thickBot="1" x14ac:dyDescent="0.3">
      <c r="E6" s="9" t="s">
        <v>445</v>
      </c>
      <c r="F6" s="85">
        <v>4.25</v>
      </c>
      <c r="I6" s="95" t="s">
        <v>446</v>
      </c>
      <c r="J6" s="96"/>
      <c r="K6" s="97">
        <f>G15+E92</f>
        <v>14803.5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2900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2020</v>
      </c>
      <c r="D10" s="19" t="s">
        <v>294</v>
      </c>
      <c r="E10" s="49">
        <v>233.74</v>
      </c>
      <c r="F10" s="20" t="s">
        <v>9</v>
      </c>
      <c r="G10" s="21">
        <v>18255.95</v>
      </c>
      <c r="H10" s="6"/>
      <c r="I10" s="180" t="s">
        <v>545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2320</v>
      </c>
      <c r="D11" s="22" t="s">
        <v>658</v>
      </c>
      <c r="E11" s="50">
        <v>357.04</v>
      </c>
      <c r="F11" s="23" t="s">
        <v>454</v>
      </c>
      <c r="G11" s="24"/>
      <c r="H11" s="6"/>
      <c r="I11" s="183" t="s">
        <v>659</v>
      </c>
      <c r="J11" s="184"/>
      <c r="K11" s="185"/>
      <c r="L11" s="80">
        <v>70</v>
      </c>
    </row>
    <row r="12" spans="2:14" ht="21.6" customHeight="1" x14ac:dyDescent="0.25">
      <c r="B12" s="17" t="s">
        <v>455</v>
      </c>
      <c r="C12" s="18">
        <v>125</v>
      </c>
      <c r="D12" s="22"/>
      <c r="E12" s="50"/>
      <c r="F12" s="88" t="s">
        <v>660</v>
      </c>
      <c r="G12" s="89">
        <v>2700</v>
      </c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88" t="s">
        <v>660</v>
      </c>
      <c r="G13" s="89">
        <v>752.45</v>
      </c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7365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488</v>
      </c>
      <c r="D15" s="28" t="s">
        <v>11</v>
      </c>
      <c r="E15" s="29">
        <f>SUM(E10:E14)</f>
        <v>590.78</v>
      </c>
      <c r="F15" s="30" t="s">
        <v>11</v>
      </c>
      <c r="G15" s="31">
        <f>SUM(G10-G12-G13)+G11</f>
        <v>14803.5</v>
      </c>
      <c r="H15" s="6"/>
      <c r="I15" s="116" t="s">
        <v>457</v>
      </c>
      <c r="J15" s="117"/>
      <c r="K15" s="118"/>
      <c r="L15" s="32">
        <f>C15-'8'!C15</f>
        <v>122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-272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285</v>
      </c>
      <c r="B20" s="128" t="s">
        <v>514</v>
      </c>
      <c r="C20" s="129"/>
      <c r="D20" s="130"/>
      <c r="E20" s="20">
        <v>506.27</v>
      </c>
      <c r="F20" s="12" t="s">
        <v>56</v>
      </c>
      <c r="G20" s="51">
        <v>1681099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286</v>
      </c>
      <c r="B21" s="143" t="s">
        <v>661</v>
      </c>
      <c r="C21" s="144"/>
      <c r="D21" s="145"/>
      <c r="E21" s="20">
        <v>301.31</v>
      </c>
      <c r="F21" s="23" t="s">
        <v>56</v>
      </c>
      <c r="G21" s="52">
        <v>7642072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289</v>
      </c>
      <c r="B22" s="143" t="s">
        <v>662</v>
      </c>
      <c r="C22" s="144"/>
      <c r="D22" s="145"/>
      <c r="E22" s="20">
        <v>598.02</v>
      </c>
      <c r="F22" s="23" t="s">
        <v>62</v>
      </c>
      <c r="G22" s="52">
        <v>113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291</v>
      </c>
      <c r="B23" s="143" t="s">
        <v>663</v>
      </c>
      <c r="C23" s="144"/>
      <c r="D23" s="145"/>
      <c r="E23" s="20">
        <v>324.13</v>
      </c>
      <c r="F23" s="23" t="s">
        <v>44</v>
      </c>
      <c r="G23" s="52">
        <v>2441412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292</v>
      </c>
      <c r="B24" s="143" t="s">
        <v>664</v>
      </c>
      <c r="C24" s="144"/>
      <c r="D24" s="145"/>
      <c r="E24" s="20">
        <v>294.79000000000002</v>
      </c>
      <c r="F24" s="23" t="s">
        <v>44</v>
      </c>
      <c r="G24" s="52">
        <v>654799</v>
      </c>
      <c r="H24" s="146"/>
      <c r="I24" s="147"/>
      <c r="J24" s="147"/>
      <c r="K24" s="148"/>
      <c r="L24" s="23" t="s">
        <v>33</v>
      </c>
    </row>
    <row r="25" spans="1:12" x14ac:dyDescent="0.25">
      <c r="A25" s="66"/>
      <c r="B25" s="143" t="s">
        <v>512</v>
      </c>
      <c r="C25" s="144"/>
      <c r="D25" s="145"/>
      <c r="E25" s="20">
        <v>415.78</v>
      </c>
      <c r="F25" s="23" t="s">
        <v>62</v>
      </c>
      <c r="G25" s="52">
        <v>255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293</v>
      </c>
      <c r="B26" s="143" t="s">
        <v>665</v>
      </c>
      <c r="C26" s="144"/>
      <c r="D26" s="145"/>
      <c r="E26" s="20">
        <v>301.45999999999998</v>
      </c>
      <c r="F26" s="23" t="s">
        <v>46</v>
      </c>
      <c r="G26" s="52">
        <v>1208973</v>
      </c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272</v>
      </c>
      <c r="B39" s="128" t="s">
        <v>271</v>
      </c>
      <c r="C39" s="129"/>
      <c r="D39" s="162"/>
      <c r="E39" s="41">
        <v>1000</v>
      </c>
      <c r="F39" s="163" t="s">
        <v>666</v>
      </c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51</v>
      </c>
      <c r="B40" s="143" t="s">
        <v>483</v>
      </c>
      <c r="C40" s="144"/>
      <c r="D40" s="158"/>
      <c r="E40" s="43">
        <v>403.1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284</v>
      </c>
      <c r="B41" s="143" t="s">
        <v>667</v>
      </c>
      <c r="C41" s="144"/>
      <c r="D41" s="158"/>
      <c r="E41" s="43">
        <v>321.14999999999998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273</v>
      </c>
      <c r="B66" s="128" t="s">
        <v>668</v>
      </c>
      <c r="C66" s="129"/>
      <c r="D66" s="162"/>
      <c r="E66" s="43">
        <v>303.08</v>
      </c>
      <c r="F66" s="163"/>
      <c r="G66" s="164"/>
      <c r="H66" s="164"/>
      <c r="I66" s="164"/>
      <c r="J66" s="164"/>
      <c r="K66" s="165"/>
      <c r="L66" s="23" t="s">
        <v>33</v>
      </c>
    </row>
    <row r="67" spans="1:12" x14ac:dyDescent="0.25">
      <c r="A67" s="17" t="s">
        <v>274</v>
      </c>
      <c r="B67" s="128" t="s">
        <v>669</v>
      </c>
      <c r="C67" s="129"/>
      <c r="D67" s="162"/>
      <c r="E67" s="43">
        <v>443.1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 t="s">
        <v>275</v>
      </c>
      <c r="B68" s="143" t="s">
        <v>488</v>
      </c>
      <c r="C68" s="144"/>
      <c r="D68" s="158"/>
      <c r="E68" s="43">
        <v>1121.67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17" t="s">
        <v>91</v>
      </c>
      <c r="B69" s="143" t="s">
        <v>525</v>
      </c>
      <c r="C69" s="144"/>
      <c r="D69" s="158"/>
      <c r="E69" s="43">
        <v>1760.97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276</v>
      </c>
      <c r="B70" s="143" t="s">
        <v>670</v>
      </c>
      <c r="C70" s="144"/>
      <c r="D70" s="158"/>
      <c r="E70" s="43">
        <v>737.88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17" t="s">
        <v>277</v>
      </c>
      <c r="B71" s="143" t="s">
        <v>671</v>
      </c>
      <c r="C71" s="144"/>
      <c r="D71" s="158"/>
      <c r="E71" s="43">
        <v>880.59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279</v>
      </c>
      <c r="B72" s="143" t="s">
        <v>278</v>
      </c>
      <c r="C72" s="144"/>
      <c r="D72" s="158"/>
      <c r="E72" s="43">
        <v>1243.3599999999999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17" t="s">
        <v>280</v>
      </c>
      <c r="B73" s="74"/>
      <c r="C73" s="75" t="s">
        <v>672</v>
      </c>
      <c r="D73" s="76"/>
      <c r="E73" s="43">
        <v>376.92</v>
      </c>
      <c r="F73" s="77"/>
      <c r="G73" s="78"/>
      <c r="H73" s="78"/>
      <c r="I73" s="78"/>
      <c r="J73" s="78"/>
      <c r="K73" s="79"/>
      <c r="L73" s="23" t="s">
        <v>33</v>
      </c>
    </row>
    <row r="74" spans="1:12" x14ac:dyDescent="0.25">
      <c r="A74" s="17" t="s">
        <v>281</v>
      </c>
      <c r="B74" s="74"/>
      <c r="C74" s="75" t="s">
        <v>673</v>
      </c>
      <c r="D74" s="76"/>
      <c r="E74" s="43">
        <v>686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/>
      <c r="B75" s="74"/>
      <c r="C75" s="75" t="s">
        <v>674</v>
      </c>
      <c r="D75" s="76"/>
      <c r="E75" s="43">
        <v>124.2</v>
      </c>
      <c r="F75" s="77"/>
      <c r="G75" s="78"/>
      <c r="H75" s="78" t="s">
        <v>527</v>
      </c>
      <c r="I75" s="78"/>
      <c r="J75" s="78"/>
      <c r="K75" s="79"/>
      <c r="L75" s="23"/>
    </row>
    <row r="76" spans="1:12" x14ac:dyDescent="0.25">
      <c r="A76" s="17" t="s">
        <v>155</v>
      </c>
      <c r="B76" s="74"/>
      <c r="C76" s="75" t="s">
        <v>560</v>
      </c>
      <c r="D76" s="76"/>
      <c r="E76" s="43">
        <v>358.27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282</v>
      </c>
      <c r="B77" s="74"/>
      <c r="C77" s="75" t="s">
        <v>675</v>
      </c>
      <c r="D77" s="76"/>
      <c r="E77" s="43">
        <v>316.44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283</v>
      </c>
      <c r="B78" s="74"/>
      <c r="C78" s="75" t="s">
        <v>676</v>
      </c>
      <c r="D78" s="76"/>
      <c r="E78" s="43">
        <v>1615.33</v>
      </c>
      <c r="F78" s="77"/>
      <c r="G78" s="78"/>
      <c r="H78" s="78"/>
      <c r="I78" s="78"/>
      <c r="J78" s="78"/>
      <c r="K78" s="79"/>
      <c r="L78" s="23" t="s">
        <v>33</v>
      </c>
    </row>
    <row r="79" spans="1:12" x14ac:dyDescent="0.25">
      <c r="A79" s="17" t="s">
        <v>213</v>
      </c>
      <c r="B79" s="143" t="s">
        <v>552</v>
      </c>
      <c r="C79" s="144"/>
      <c r="D79" s="158"/>
      <c r="E79" s="43">
        <v>617.21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193</v>
      </c>
      <c r="B80" s="143" t="s">
        <v>540</v>
      </c>
      <c r="C80" s="144"/>
      <c r="D80" s="158"/>
      <c r="E80" s="43">
        <v>1586.91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17" t="s">
        <v>287</v>
      </c>
      <c r="B81" s="74"/>
      <c r="C81" s="75" t="s">
        <v>488</v>
      </c>
      <c r="D81" s="76"/>
      <c r="E81" s="43">
        <v>1055.99</v>
      </c>
      <c r="F81" s="77"/>
      <c r="G81" s="78"/>
      <c r="H81" s="78"/>
      <c r="I81" s="78"/>
      <c r="J81" s="78"/>
      <c r="K81" s="79"/>
      <c r="L81" s="23" t="s">
        <v>33</v>
      </c>
    </row>
    <row r="82" spans="1:12" x14ac:dyDescent="0.25">
      <c r="A82" s="17" t="s">
        <v>288</v>
      </c>
      <c r="B82" s="74"/>
      <c r="C82" s="75" t="s">
        <v>677</v>
      </c>
      <c r="D82" s="76"/>
      <c r="E82" s="43">
        <v>3118.32</v>
      </c>
      <c r="F82" s="77"/>
      <c r="G82" s="78"/>
      <c r="H82" s="78"/>
      <c r="I82" s="78"/>
      <c r="J82" s="78"/>
      <c r="K82" s="79"/>
      <c r="L82" s="23" t="s">
        <v>33</v>
      </c>
    </row>
    <row r="83" spans="1:12" x14ac:dyDescent="0.25">
      <c r="A83" s="17" t="s">
        <v>290</v>
      </c>
      <c r="B83" s="74"/>
      <c r="C83" s="75" t="s">
        <v>678</v>
      </c>
      <c r="D83" s="76"/>
      <c r="E83" s="43">
        <v>3797.05</v>
      </c>
      <c r="F83" s="77"/>
      <c r="G83" s="78"/>
      <c r="H83" s="78"/>
      <c r="I83" s="78"/>
      <c r="J83" s="78"/>
      <c r="K83" s="79"/>
      <c r="L83" s="23" t="s">
        <v>33</v>
      </c>
    </row>
    <row r="84" spans="1:12" x14ac:dyDescent="0.25">
      <c r="A84" s="17"/>
      <c r="B84" s="74"/>
      <c r="C84" s="75"/>
      <c r="D84" s="76"/>
      <c r="E84" s="43"/>
      <c r="F84" s="77"/>
      <c r="G84" s="78"/>
      <c r="H84" s="78"/>
      <c r="I84" s="78"/>
      <c r="J84" s="78"/>
      <c r="K84" s="79"/>
      <c r="L84" s="23"/>
    </row>
    <row r="85" spans="1:12" x14ac:dyDescent="0.25">
      <c r="A85" s="17"/>
      <c r="B85" s="143"/>
      <c r="C85" s="144"/>
      <c r="D85" s="158"/>
      <c r="E85" s="43"/>
      <c r="F85" s="159"/>
      <c r="G85" s="160"/>
      <c r="H85" s="160"/>
      <c r="I85" s="160"/>
      <c r="J85" s="160"/>
      <c r="K85" s="161"/>
      <c r="L85" s="17"/>
    </row>
    <row r="86" spans="1:12" x14ac:dyDescent="0.25">
      <c r="A86" s="17"/>
      <c r="B86" s="143"/>
      <c r="C86" s="144"/>
      <c r="D86" s="158"/>
      <c r="E86" s="43"/>
      <c r="F86" s="159"/>
      <c r="G86" s="160"/>
      <c r="H86" s="160"/>
      <c r="I86" s="160"/>
      <c r="J86" s="160"/>
      <c r="K86" s="161"/>
      <c r="L86" s="17"/>
    </row>
    <row r="87" spans="1:12" x14ac:dyDescent="0.25">
      <c r="A87" s="17"/>
      <c r="B87" s="143"/>
      <c r="C87" s="144"/>
      <c r="D87" s="158"/>
      <c r="E87" s="43"/>
      <c r="F87" s="159"/>
      <c r="G87" s="160"/>
      <c r="H87" s="160"/>
      <c r="I87" s="160"/>
      <c r="J87" s="160"/>
      <c r="K87" s="161"/>
      <c r="L87" s="17"/>
    </row>
    <row r="88" spans="1:12" ht="16.5" thickBot="1" x14ac:dyDescent="0.3">
      <c r="A88" s="26"/>
      <c r="B88" s="149"/>
      <c r="C88" s="150"/>
      <c r="D88" s="169"/>
      <c r="E88" s="45"/>
      <c r="F88" s="170"/>
      <c r="G88" s="171"/>
      <c r="H88" s="171"/>
      <c r="I88" s="171"/>
      <c r="J88" s="171"/>
      <c r="K88" s="172"/>
      <c r="L88" s="26"/>
    </row>
    <row r="89" spans="1:12" x14ac:dyDescent="0.25">
      <c r="A89" s="68"/>
      <c r="B89" s="69"/>
      <c r="C89" s="46"/>
      <c r="D89" s="46"/>
      <c r="F89" s="47"/>
      <c r="G89" s="47"/>
      <c r="H89" s="47"/>
      <c r="I89" s="47"/>
      <c r="J89" s="47"/>
      <c r="K89" s="47"/>
    </row>
    <row r="90" spans="1:12" x14ac:dyDescent="0.25">
      <c r="B90" s="176" t="s">
        <v>464</v>
      </c>
      <c r="C90" s="176"/>
      <c r="D90" s="176"/>
      <c r="E90" s="6">
        <f>SUM(E39:E47)</f>
        <v>1724.25</v>
      </c>
      <c r="F90" s="6"/>
      <c r="G90" s="6"/>
      <c r="H90" s="6"/>
      <c r="I90" s="6"/>
      <c r="J90" s="6"/>
      <c r="K90" s="6"/>
    </row>
    <row r="91" spans="1:12" x14ac:dyDescent="0.25">
      <c r="B91" s="176" t="s">
        <v>465</v>
      </c>
      <c r="C91" s="176"/>
      <c r="D91" s="176"/>
      <c r="E91" s="6">
        <f>SUM(E20:E37)</f>
        <v>2741.76</v>
      </c>
    </row>
    <row r="92" spans="1:12" x14ac:dyDescent="0.25">
      <c r="B92" s="176" t="s">
        <v>466</v>
      </c>
      <c r="C92" s="176"/>
      <c r="D92" s="176"/>
      <c r="E92" s="6">
        <f>SUM(E49:E57)</f>
        <v>0</v>
      </c>
    </row>
    <row r="97" spans="2:2" ht="18.75" x14ac:dyDescent="0.3">
      <c r="B97" s="48"/>
    </row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9:D79"/>
    <mergeCell ref="F79:K79"/>
    <mergeCell ref="B80:D80"/>
    <mergeCell ref="F80:K80"/>
    <mergeCell ref="B69:D69"/>
    <mergeCell ref="F69:K69"/>
    <mergeCell ref="B70:D70"/>
    <mergeCell ref="F70:K70"/>
    <mergeCell ref="B71:D71"/>
    <mergeCell ref="F71:K71"/>
    <mergeCell ref="B88:D88"/>
    <mergeCell ref="F88:K88"/>
    <mergeCell ref="B90:D90"/>
    <mergeCell ref="B91:D91"/>
    <mergeCell ref="B92:D92"/>
    <mergeCell ref="B85:D85"/>
    <mergeCell ref="F85:K85"/>
    <mergeCell ref="B86:D86"/>
    <mergeCell ref="F86:K86"/>
    <mergeCell ref="B87:D87"/>
    <mergeCell ref="F87:K87"/>
  </mergeCells>
  <conditionalFormatting sqref="A18:A19">
    <cfRule type="cellIs" dxfId="472" priority="1" stopIfTrue="1" operator="equal">
      <formula>"OK"</formula>
    </cfRule>
  </conditionalFormatting>
  <conditionalFormatting sqref="A95:XFD1048576">
    <cfRule type="cellIs" dxfId="471" priority="13" stopIfTrue="1" operator="equal">
      <formula>"OK"</formula>
    </cfRule>
  </conditionalFormatting>
  <conditionalFormatting sqref="B49:B52 B20:H37">
    <cfRule type="expression" dxfId="470" priority="20">
      <formula>$J20="ancien paiement"</formula>
    </cfRule>
  </conditionalFormatting>
  <conditionalFormatting sqref="B60:B62 E60:F62 B67:D67 E67:F68 B68 B69:K69 B70 E70:F70 B71:K88">
    <cfRule type="expression" dxfId="469" priority="19">
      <formula>$F60="ancien paiement"</formula>
    </cfRule>
    <cfRule type="expression" dxfId="468" priority="21">
      <formula>$J60="ancien paiement"</formula>
    </cfRule>
  </conditionalFormatting>
  <conditionalFormatting sqref="B60:B62 E60:F62 B67:D67 E67:F68 B68 B69:XFD69 B70 E70:F70 B71:XFD94 B19:H37 B38:XFD47 B63:XFD66 B58:XFD59 B1:J1 M1:XFD1 A2:XFD2 E3 G3:I3 M3:XFD3 B3:D6 K4 P4:XFD7 K5:L7 B7:I7 B8:D8 F8 I8 M8:XFD8 L9:XFD16 A17:XFD17 M18:XFD18 L19:XFD37 M48:XFD57 L60:XFD62 L67:XFD68 L70:XFD70">
    <cfRule type="cellIs" dxfId="467" priority="22" stopIfTrue="1" operator="equal">
      <formula>"OK"</formula>
    </cfRule>
  </conditionalFormatting>
  <conditionalFormatting sqref="B9:I16">
    <cfRule type="cellIs" dxfId="466" priority="11" stopIfTrue="1" operator="equal">
      <formula>"OK"</formula>
    </cfRule>
  </conditionalFormatting>
  <conditionalFormatting sqref="B39:K39">
    <cfRule type="expression" dxfId="465" priority="18">
      <formula>$J39="ancien paiement"</formula>
    </cfRule>
  </conditionalFormatting>
  <conditionalFormatting sqref="B39:K48 B49:B52">
    <cfRule type="expression" dxfId="464" priority="5">
      <formula>$F39="ancien paiement"</formula>
    </cfRule>
  </conditionalFormatting>
  <conditionalFormatting sqref="B41:K48">
    <cfRule type="expression" dxfId="463" priority="6">
      <formula>$J41="ancien paiement"</formula>
    </cfRule>
  </conditionalFormatting>
  <conditionalFormatting sqref="B54:K59">
    <cfRule type="expression" dxfId="462" priority="7">
      <formula>$F54="ancien paiement"</formula>
    </cfRule>
    <cfRule type="expression" dxfId="461" priority="8">
      <formula>$J54="ancien paiement"</formula>
    </cfRule>
  </conditionalFormatting>
  <conditionalFormatting sqref="B63:K64">
    <cfRule type="expression" dxfId="460" priority="16">
      <formula>$F63="ancien paiement"</formula>
    </cfRule>
    <cfRule type="expression" dxfId="459" priority="17">
      <formula>$J63="ancien paiement"</formula>
    </cfRule>
  </conditionalFormatting>
  <conditionalFormatting sqref="B66:K66">
    <cfRule type="expression" dxfId="458" priority="14">
      <formula>$F66="ancien paiement"</formula>
    </cfRule>
    <cfRule type="expression" dxfId="457" priority="15">
      <formula>$J66="ancien paiement"</formula>
    </cfRule>
  </conditionalFormatting>
  <conditionalFormatting sqref="B51:L57 B48:L49 B50:D50">
    <cfRule type="cellIs" dxfId="456" priority="9" stopIfTrue="1" operator="equal">
      <formula>"OK"</formula>
    </cfRule>
  </conditionalFormatting>
  <conditionalFormatting sqref="E49">
    <cfRule type="expression" dxfId="455" priority="10">
      <formula>#REF!="ancien paiement"</formula>
    </cfRule>
  </conditionalFormatting>
  <conditionalFormatting sqref="E49:F52">
    <cfRule type="expression" dxfId="454" priority="2">
      <formula>$F49="ancien paiement"</formula>
    </cfRule>
    <cfRule type="expression" dxfId="453" priority="3">
      <formula>$J49="ancien paiement"</formula>
    </cfRule>
  </conditionalFormatting>
  <conditionalFormatting sqref="E4:I6">
    <cfRule type="cellIs" dxfId="452" priority="12" stopIfTrue="1" operator="equal">
      <formula>"OK"</formula>
    </cfRule>
  </conditionalFormatting>
  <conditionalFormatting sqref="E50:L50">
    <cfRule type="cellIs" dxfId="451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EB45-FC5D-4CFB-B0AB-D9B2D57F1636}">
  <sheetPr>
    <pageSetUpPr fitToPage="1"/>
  </sheetPr>
  <dimension ref="A1:N117"/>
  <sheetViews>
    <sheetView topLeftCell="A58" workbookViewId="0">
      <selection activeCell="L15" sqref="L1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46123</v>
      </c>
      <c r="K1" s="105"/>
      <c r="L1" s="105"/>
    </row>
    <row r="2" spans="2:14" ht="16.5" thickBot="1" x14ac:dyDescent="0.3">
      <c r="G2" s="1" t="s">
        <v>702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703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13690</v>
      </c>
      <c r="G4" s="1" t="s">
        <v>704</v>
      </c>
      <c r="I4" s="112" t="s">
        <v>3</v>
      </c>
      <c r="J4" s="113"/>
      <c r="K4" s="114">
        <f>E80+C14</f>
        <v>13690</v>
      </c>
      <c r="L4" s="115"/>
      <c r="N4" s="6"/>
    </row>
    <row r="5" spans="2:14" ht="16.5" thickBot="1" x14ac:dyDescent="0.3">
      <c r="E5" s="7" t="s">
        <v>4</v>
      </c>
      <c r="F5" s="8">
        <v>1582.95</v>
      </c>
      <c r="G5" s="1" t="s">
        <v>705</v>
      </c>
      <c r="I5" s="95" t="s">
        <v>5</v>
      </c>
      <c r="J5" s="96"/>
      <c r="K5" s="97">
        <f>E15+E81</f>
        <v>1582.9499999999998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22365.06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5000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5200</v>
      </c>
      <c r="D10" s="19" t="s">
        <v>706</v>
      </c>
      <c r="E10" s="49">
        <v>744.8</v>
      </c>
      <c r="F10" s="20" t="s">
        <v>9</v>
      </c>
      <c r="G10" s="21">
        <v>22365.06</v>
      </c>
      <c r="H10" s="6"/>
      <c r="I10" s="180" t="s">
        <v>545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3490</v>
      </c>
      <c r="D11" s="22" t="s">
        <v>319</v>
      </c>
      <c r="E11" s="50">
        <v>339.88</v>
      </c>
      <c r="F11" s="23" t="s">
        <v>454</v>
      </c>
      <c r="G11" s="24"/>
      <c r="H11" s="6"/>
      <c r="I11" s="140" t="s">
        <v>707</v>
      </c>
      <c r="J11" s="141"/>
      <c r="K11" s="142"/>
      <c r="L11" s="21">
        <v>260</v>
      </c>
    </row>
    <row r="12" spans="2:14" ht="21.6" customHeight="1" x14ac:dyDescent="0.25">
      <c r="B12" s="17" t="s">
        <v>455</v>
      </c>
      <c r="C12" s="18"/>
      <c r="D12" s="22" t="s">
        <v>471</v>
      </c>
      <c r="E12" s="50">
        <v>498.27</v>
      </c>
      <c r="F12" s="23"/>
      <c r="G12" s="24"/>
      <c r="H12" s="6"/>
      <c r="I12" s="183" t="s">
        <v>708</v>
      </c>
      <c r="J12" s="184"/>
      <c r="K12" s="185"/>
      <c r="L12" s="84">
        <v>80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83" t="s">
        <v>472</v>
      </c>
      <c r="J13" s="184"/>
      <c r="K13" s="185"/>
      <c r="L13" s="84">
        <v>80</v>
      </c>
    </row>
    <row r="14" spans="2:14" ht="23.85" customHeight="1" x14ac:dyDescent="0.25">
      <c r="B14" s="25" t="s">
        <v>11</v>
      </c>
      <c r="C14" s="18">
        <f>SUM(C9:C13)</f>
        <v>13690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412</v>
      </c>
      <c r="D15" s="28" t="s">
        <v>11</v>
      </c>
      <c r="E15" s="29">
        <f>SUM(E10:E14)</f>
        <v>1582.9499999999998</v>
      </c>
      <c r="F15" s="30" t="s">
        <v>11</v>
      </c>
      <c r="G15" s="31">
        <f>SUM(G10:G14)</f>
        <v>22365.06</v>
      </c>
      <c r="H15" s="6"/>
      <c r="I15" s="116" t="s">
        <v>457</v>
      </c>
      <c r="J15" s="117"/>
      <c r="K15" s="118"/>
      <c r="L15" s="32">
        <f>C15-'10'!C15</f>
        <v>-28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-472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7" s="1" customFormat="1" x14ac:dyDescent="0.25"/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9:D69"/>
    <mergeCell ref="F69:K69"/>
    <mergeCell ref="B63:D63"/>
    <mergeCell ref="F63:K63"/>
    <mergeCell ref="B64:D64"/>
    <mergeCell ref="F64:K64"/>
    <mergeCell ref="B65:D65"/>
    <mergeCell ref="F65:K65"/>
    <mergeCell ref="B68:D68"/>
    <mergeCell ref="F68:K68"/>
    <mergeCell ref="B73:D73"/>
    <mergeCell ref="F73:K73"/>
    <mergeCell ref="B74:D74"/>
    <mergeCell ref="F74:K74"/>
    <mergeCell ref="B70:D70"/>
    <mergeCell ref="F70:K70"/>
    <mergeCell ref="B71:D71"/>
    <mergeCell ref="F71:K71"/>
    <mergeCell ref="B72:D72"/>
    <mergeCell ref="F72:K72"/>
    <mergeCell ref="B76:D76"/>
    <mergeCell ref="F76:K76"/>
    <mergeCell ref="B78:D78"/>
    <mergeCell ref="F78:K78"/>
    <mergeCell ref="B82:D82"/>
    <mergeCell ref="B75:D75"/>
    <mergeCell ref="F75:K75"/>
    <mergeCell ref="B77:D77"/>
    <mergeCell ref="F77:K77"/>
    <mergeCell ref="B81:D81"/>
    <mergeCell ref="B80:D80"/>
  </mergeCells>
  <conditionalFormatting sqref="A18:A19">
    <cfRule type="cellIs" dxfId="450" priority="1" stopIfTrue="1" operator="equal">
      <formula>"OK"</formula>
    </cfRule>
  </conditionalFormatting>
  <conditionalFormatting sqref="A85:XFD1048576">
    <cfRule type="cellIs" dxfId="449" priority="13" stopIfTrue="1" operator="equal">
      <formula>"OK"</formula>
    </cfRule>
  </conditionalFormatting>
  <conditionalFormatting sqref="B49:B52 B20:H37">
    <cfRule type="expression" dxfId="448" priority="20">
      <formula>$J20="ancien paiement"</formula>
    </cfRule>
  </conditionalFormatting>
  <conditionalFormatting sqref="B60:B62 E60:F62 B67:D67 E67:F68 B68 B69:K69 B70 E70:F70 B71:K78">
    <cfRule type="expression" dxfId="447" priority="19">
      <formula>$F60="ancien paiement"</formula>
    </cfRule>
    <cfRule type="expression" dxfId="446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445" priority="22" stopIfTrue="1" operator="equal">
      <formula>"OK"</formula>
    </cfRule>
  </conditionalFormatting>
  <conditionalFormatting sqref="B9:I16">
    <cfRule type="cellIs" dxfId="444" priority="11" stopIfTrue="1" operator="equal">
      <formula>"OK"</formula>
    </cfRule>
  </conditionalFormatting>
  <conditionalFormatting sqref="B39:K39">
    <cfRule type="expression" dxfId="443" priority="18">
      <formula>$J39="ancien paiement"</formula>
    </cfRule>
  </conditionalFormatting>
  <conditionalFormatting sqref="B39:K48 B49:B52">
    <cfRule type="expression" dxfId="442" priority="5">
      <formula>$F39="ancien paiement"</formula>
    </cfRule>
  </conditionalFormatting>
  <conditionalFormatting sqref="B41:K48">
    <cfRule type="expression" dxfId="441" priority="6">
      <formula>$J41="ancien paiement"</formula>
    </cfRule>
  </conditionalFormatting>
  <conditionalFormatting sqref="B54:K59">
    <cfRule type="expression" dxfId="440" priority="7">
      <formula>$F54="ancien paiement"</formula>
    </cfRule>
    <cfRule type="expression" dxfId="439" priority="8">
      <formula>$J54="ancien paiement"</formula>
    </cfRule>
  </conditionalFormatting>
  <conditionalFormatting sqref="B63:K64">
    <cfRule type="expression" dxfId="438" priority="16">
      <formula>$F63="ancien paiement"</formula>
    </cfRule>
    <cfRule type="expression" dxfId="437" priority="17">
      <formula>$J63="ancien paiement"</formula>
    </cfRule>
  </conditionalFormatting>
  <conditionalFormatting sqref="B66:K66">
    <cfRule type="expression" dxfId="436" priority="14">
      <formula>$F66="ancien paiement"</formula>
    </cfRule>
    <cfRule type="expression" dxfId="435" priority="15">
      <formula>$J66="ancien paiement"</formula>
    </cfRule>
  </conditionalFormatting>
  <conditionalFormatting sqref="B51:L57 B48:L49 B50:D50">
    <cfRule type="cellIs" dxfId="434" priority="9" stopIfTrue="1" operator="equal">
      <formula>"OK"</formula>
    </cfRule>
  </conditionalFormatting>
  <conditionalFormatting sqref="E49">
    <cfRule type="expression" dxfId="433" priority="10">
      <formula>#REF!="ancien paiement"</formula>
    </cfRule>
  </conditionalFormatting>
  <conditionalFormatting sqref="E49:F52">
    <cfRule type="expression" dxfId="432" priority="2">
      <formula>$F49="ancien paiement"</formula>
    </cfRule>
    <cfRule type="expression" dxfId="431" priority="3">
      <formula>$J49="ancien paiement"</formula>
    </cfRule>
  </conditionalFormatting>
  <conditionalFormatting sqref="E4:I6">
    <cfRule type="cellIs" dxfId="430" priority="12" stopIfTrue="1" operator="equal">
      <formula>"OK"</formula>
    </cfRule>
  </conditionalFormatting>
  <conditionalFormatting sqref="E50:L50">
    <cfRule type="cellIs" dxfId="429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8549-955F-4D97-B5D9-D9ECD9E8B0EC}">
  <sheetPr>
    <pageSetUpPr fitToPage="1"/>
  </sheetPr>
  <dimension ref="A1:N110"/>
  <sheetViews>
    <sheetView topLeftCell="A71" workbookViewId="0">
      <selection activeCell="C63" sqref="C63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46122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679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6710</v>
      </c>
      <c r="G4" s="1" t="s">
        <v>680</v>
      </c>
      <c r="I4" s="112" t="s">
        <v>3</v>
      </c>
      <c r="J4" s="113"/>
      <c r="K4" s="114">
        <f>E103+C14</f>
        <v>6717.7</v>
      </c>
      <c r="L4" s="115"/>
      <c r="N4" s="6"/>
    </row>
    <row r="5" spans="2:14" ht="16.5" thickBot="1" x14ac:dyDescent="0.3">
      <c r="E5" s="7" t="s">
        <v>4</v>
      </c>
      <c r="F5" s="8">
        <v>4120.46</v>
      </c>
      <c r="G5" s="1" t="s">
        <v>681</v>
      </c>
      <c r="I5" s="95" t="s">
        <v>5</v>
      </c>
      <c r="J5" s="96"/>
      <c r="K5" s="97">
        <f>E15+E104</f>
        <v>6723.37</v>
      </c>
      <c r="L5" s="98"/>
      <c r="N5" s="6"/>
    </row>
    <row r="6" spans="2:14" ht="16.5" thickBot="1" x14ac:dyDescent="0.3">
      <c r="E6" s="9" t="s">
        <v>445</v>
      </c>
      <c r="F6" s="85">
        <v>7.7</v>
      </c>
      <c r="I6" s="95" t="s">
        <v>446</v>
      </c>
      <c r="J6" s="96"/>
      <c r="K6" s="97">
        <f>G15+E105</f>
        <v>26138.03</v>
      </c>
      <c r="L6" s="98"/>
    </row>
    <row r="7" spans="2:14" ht="16.5" thickBot="1" x14ac:dyDescent="0.3">
      <c r="I7" s="99" t="s">
        <v>6</v>
      </c>
      <c r="J7" s="100"/>
      <c r="K7" s="101">
        <f>SUM(E68:E73)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2000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1940</v>
      </c>
      <c r="D10" s="19" t="s">
        <v>471</v>
      </c>
      <c r="E10" s="49">
        <v>309.49</v>
      </c>
      <c r="F10" s="20" t="s">
        <v>9</v>
      </c>
      <c r="G10" s="21">
        <v>15955.55</v>
      </c>
      <c r="H10" s="6"/>
      <c r="I10" s="180" t="s">
        <v>318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2270</v>
      </c>
      <c r="D11" s="22"/>
      <c r="E11" s="50"/>
      <c r="F11" s="23" t="s">
        <v>454</v>
      </c>
      <c r="G11" s="24"/>
      <c r="H11" s="6"/>
      <c r="I11" s="186" t="s">
        <v>81</v>
      </c>
      <c r="J11" s="187"/>
      <c r="K11" s="188"/>
      <c r="L11" s="90">
        <v>80</v>
      </c>
    </row>
    <row r="12" spans="2:14" ht="21.6" customHeight="1" x14ac:dyDescent="0.25">
      <c r="B12" s="17" t="s">
        <v>455</v>
      </c>
      <c r="C12" s="18">
        <v>30</v>
      </c>
      <c r="D12" s="22"/>
      <c r="E12" s="50"/>
      <c r="F12" s="23"/>
      <c r="G12" s="24"/>
      <c r="H12" s="6"/>
      <c r="I12" s="183" t="s">
        <v>96</v>
      </c>
      <c r="J12" s="184"/>
      <c r="K12" s="185"/>
      <c r="L12" s="84">
        <v>80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6240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440</v>
      </c>
      <c r="D15" s="28" t="s">
        <v>11</v>
      </c>
      <c r="E15" s="29">
        <f>SUM(E10:E14)</f>
        <v>309.49</v>
      </c>
      <c r="F15" s="30" t="s">
        <v>11</v>
      </c>
      <c r="G15" s="31">
        <f>SUM(G10:G14)</f>
        <v>15955.55</v>
      </c>
      <c r="H15" s="6"/>
      <c r="I15" s="116" t="s">
        <v>457</v>
      </c>
      <c r="J15" s="117"/>
      <c r="K15" s="118"/>
      <c r="L15" s="32">
        <f>C15-'9'!C15</f>
        <v>-48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-192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 t="s">
        <v>682</v>
      </c>
      <c r="C20" s="129"/>
      <c r="D20" s="130"/>
      <c r="E20" s="20">
        <v>347</v>
      </c>
      <c r="F20" s="12" t="s">
        <v>248</v>
      </c>
      <c r="G20" s="51">
        <v>6361484</v>
      </c>
      <c r="H20" s="131"/>
      <c r="I20" s="132"/>
      <c r="J20" s="132"/>
      <c r="K20" s="133"/>
      <c r="L20" s="20" t="s">
        <v>71</v>
      </c>
    </row>
    <row r="21" spans="1:12" x14ac:dyDescent="0.25">
      <c r="A21" s="66" t="s">
        <v>305</v>
      </c>
      <c r="B21" s="143" t="s">
        <v>683</v>
      </c>
      <c r="C21" s="144"/>
      <c r="D21" s="145"/>
      <c r="E21" s="20">
        <v>575.61</v>
      </c>
      <c r="F21" s="23" t="s">
        <v>44</v>
      </c>
      <c r="G21" s="52">
        <v>3260692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307</v>
      </c>
      <c r="B22" s="143" t="s">
        <v>684</v>
      </c>
      <c r="C22" s="144"/>
      <c r="D22" s="145"/>
      <c r="E22" s="20">
        <v>356.36</v>
      </c>
      <c r="F22" s="23" t="s">
        <v>75</v>
      </c>
      <c r="G22" s="52">
        <v>2000424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41</v>
      </c>
      <c r="B23" s="143" t="s">
        <v>491</v>
      </c>
      <c r="C23" s="144"/>
      <c r="D23" s="145"/>
      <c r="E23" s="20">
        <v>642.67999999999995</v>
      </c>
      <c r="F23" s="23" t="s">
        <v>56</v>
      </c>
      <c r="G23" s="52">
        <v>2650137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310</v>
      </c>
      <c r="B24" s="143" t="s">
        <v>685</v>
      </c>
      <c r="C24" s="144"/>
      <c r="D24" s="145"/>
      <c r="E24" s="20">
        <v>639.15</v>
      </c>
      <c r="F24" s="23" t="s">
        <v>75</v>
      </c>
      <c r="G24" s="52">
        <v>891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82</v>
      </c>
      <c r="B25" s="143" t="s">
        <v>507</v>
      </c>
      <c r="C25" s="144"/>
      <c r="D25" s="145"/>
      <c r="E25" s="20">
        <v>280.39</v>
      </c>
      <c r="F25" s="23" t="s">
        <v>44</v>
      </c>
      <c r="G25" s="52">
        <v>9334224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90</v>
      </c>
      <c r="B26" s="143" t="s">
        <v>509</v>
      </c>
      <c r="C26" s="144"/>
      <c r="D26" s="145"/>
      <c r="E26" s="20">
        <v>689.38</v>
      </c>
      <c r="F26" s="23" t="s">
        <v>75</v>
      </c>
      <c r="G26" s="52">
        <v>299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315</v>
      </c>
      <c r="B27" s="143" t="s">
        <v>686</v>
      </c>
      <c r="C27" s="144"/>
      <c r="D27" s="145"/>
      <c r="E27" s="20">
        <v>280.39999999999998</v>
      </c>
      <c r="F27" s="23" t="s">
        <v>35</v>
      </c>
      <c r="G27" s="52">
        <v>8738421</v>
      </c>
      <c r="H27" s="146"/>
      <c r="I27" s="147"/>
      <c r="J27" s="147"/>
      <c r="K27" s="148"/>
      <c r="L27" s="23" t="s">
        <v>33</v>
      </c>
    </row>
    <row r="28" spans="1:12" x14ac:dyDescent="0.25">
      <c r="A28" s="66"/>
      <c r="B28" s="143" t="s">
        <v>687</v>
      </c>
      <c r="C28" s="144"/>
      <c r="D28" s="145"/>
      <c r="E28" s="20">
        <v>2602.91</v>
      </c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 t="s">
        <v>96</v>
      </c>
      <c r="C39" s="129"/>
      <c r="D39" s="162"/>
      <c r="E39" s="41">
        <v>80</v>
      </c>
      <c r="F39" s="163" t="s">
        <v>688</v>
      </c>
      <c r="G39" s="164"/>
      <c r="H39" s="164"/>
      <c r="I39" s="164"/>
      <c r="J39" s="164"/>
      <c r="K39" s="165"/>
      <c r="L39" s="42"/>
    </row>
    <row r="40" spans="1:12" x14ac:dyDescent="0.25">
      <c r="A40" s="66" t="s">
        <v>308</v>
      </c>
      <c r="B40" s="143" t="s">
        <v>689</v>
      </c>
      <c r="C40" s="144"/>
      <c r="D40" s="158"/>
      <c r="E40" s="43">
        <v>3.72</v>
      </c>
      <c r="F40" s="159" t="s">
        <v>225</v>
      </c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152</v>
      </c>
      <c r="B41" s="143" t="s">
        <v>690</v>
      </c>
      <c r="C41" s="144"/>
      <c r="D41" s="158"/>
      <c r="E41" s="43">
        <v>393.98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 t="s">
        <v>299</v>
      </c>
      <c r="B54" s="143" t="s">
        <v>616</v>
      </c>
      <c r="C54" s="144">
        <v>802.36</v>
      </c>
      <c r="D54" s="158" t="s">
        <v>18</v>
      </c>
      <c r="E54" s="43">
        <v>388.44</v>
      </c>
      <c r="F54" s="163"/>
      <c r="G54" s="164"/>
      <c r="H54" s="164"/>
      <c r="I54" s="164"/>
      <c r="J54" s="164"/>
      <c r="K54" s="165"/>
      <c r="L54" s="20" t="s">
        <v>71</v>
      </c>
    </row>
    <row r="55" spans="1:12" x14ac:dyDescent="0.25">
      <c r="A55" s="66" t="s">
        <v>300</v>
      </c>
      <c r="B55" s="74"/>
      <c r="C55" s="75" t="s">
        <v>691</v>
      </c>
      <c r="D55" s="76"/>
      <c r="E55" s="43">
        <v>347.01</v>
      </c>
      <c r="F55" s="81"/>
      <c r="G55" s="82"/>
      <c r="H55" s="82"/>
      <c r="I55" s="82"/>
      <c r="J55" s="82"/>
      <c r="K55" s="83"/>
      <c r="L55" s="20" t="s">
        <v>71</v>
      </c>
    </row>
    <row r="56" spans="1:12" x14ac:dyDescent="0.25">
      <c r="A56" s="66" t="s">
        <v>302</v>
      </c>
      <c r="B56" s="74"/>
      <c r="C56" s="75" t="s">
        <v>301</v>
      </c>
      <c r="D56" s="76"/>
      <c r="E56" s="43">
        <v>300</v>
      </c>
      <c r="F56" s="81"/>
      <c r="G56" s="82"/>
      <c r="H56" s="82"/>
      <c r="I56" s="82"/>
      <c r="J56" s="82"/>
      <c r="K56" s="83"/>
      <c r="L56" s="20" t="s">
        <v>71</v>
      </c>
    </row>
    <row r="57" spans="1:12" x14ac:dyDescent="0.25">
      <c r="A57" s="66" t="s">
        <v>219</v>
      </c>
      <c r="B57" s="74"/>
      <c r="C57" s="75" t="s">
        <v>620</v>
      </c>
      <c r="D57" s="76"/>
      <c r="E57" s="43">
        <v>966.56</v>
      </c>
      <c r="F57" s="81"/>
      <c r="G57" s="82"/>
      <c r="H57" s="82"/>
      <c r="I57" s="82"/>
      <c r="J57" s="82"/>
      <c r="K57" s="83"/>
      <c r="L57" s="20" t="s">
        <v>33</v>
      </c>
    </row>
    <row r="58" spans="1:12" x14ac:dyDescent="0.25">
      <c r="A58" s="66" t="s">
        <v>303</v>
      </c>
      <c r="B58" s="74"/>
      <c r="C58" s="75" t="s">
        <v>692</v>
      </c>
      <c r="D58" s="76"/>
      <c r="E58" s="43">
        <v>3338.67</v>
      </c>
      <c r="F58" s="81"/>
      <c r="G58" s="82"/>
      <c r="H58" s="82"/>
      <c r="I58" s="82"/>
      <c r="J58" s="82"/>
      <c r="K58" s="83"/>
      <c r="L58" s="20" t="s">
        <v>71</v>
      </c>
    </row>
    <row r="59" spans="1:12" x14ac:dyDescent="0.25">
      <c r="A59" s="66" t="s">
        <v>304</v>
      </c>
      <c r="B59" s="74"/>
      <c r="C59" s="75" t="s">
        <v>693</v>
      </c>
      <c r="D59" s="76"/>
      <c r="E59" s="43">
        <v>4288.1499999999996</v>
      </c>
      <c r="F59" s="81"/>
      <c r="G59" s="82"/>
      <c r="H59" s="82"/>
      <c r="I59" s="82"/>
      <c r="J59" s="82"/>
      <c r="K59" s="83"/>
      <c r="L59" s="20" t="s">
        <v>71</v>
      </c>
    </row>
    <row r="60" spans="1:12" x14ac:dyDescent="0.25">
      <c r="A60" s="66" t="s">
        <v>129</v>
      </c>
      <c r="B60" s="74"/>
      <c r="C60" s="75" t="s">
        <v>552</v>
      </c>
      <c r="D60" s="76"/>
      <c r="E60" s="43">
        <v>553.65</v>
      </c>
      <c r="F60" s="81"/>
      <c r="G60" s="82"/>
      <c r="H60" s="82"/>
      <c r="I60" s="82"/>
      <c r="J60" s="82"/>
      <c r="K60" s="83"/>
      <c r="L60" s="20" t="s">
        <v>71</v>
      </c>
    </row>
    <row r="61" spans="1:12" x14ac:dyDescent="0.25">
      <c r="A61" s="66"/>
      <c r="B61" s="74"/>
      <c r="C61" s="75"/>
      <c r="D61" s="76"/>
      <c r="E61" s="43"/>
      <c r="F61" s="81"/>
      <c r="G61" s="82"/>
      <c r="H61" s="82"/>
      <c r="I61" s="82"/>
      <c r="J61" s="82"/>
      <c r="K61" s="83"/>
      <c r="L61" s="20"/>
    </row>
    <row r="62" spans="1:12" x14ac:dyDescent="0.25">
      <c r="A62" s="66"/>
      <c r="B62" s="74"/>
      <c r="C62" s="75"/>
      <c r="D62" s="76"/>
      <c r="E62" s="43"/>
      <c r="F62" s="81"/>
      <c r="G62" s="82"/>
      <c r="H62" s="82"/>
      <c r="I62" s="82"/>
      <c r="J62" s="82"/>
      <c r="K62" s="83"/>
      <c r="L62" s="20"/>
    </row>
    <row r="63" spans="1:12" x14ac:dyDescent="0.25">
      <c r="A63" s="66"/>
      <c r="B63" s="74"/>
      <c r="C63" s="75"/>
      <c r="D63" s="76"/>
      <c r="E63" s="43"/>
      <c r="F63" s="81"/>
      <c r="G63" s="82"/>
      <c r="H63" s="82"/>
      <c r="I63" s="82"/>
      <c r="J63" s="82"/>
      <c r="K63" s="83"/>
      <c r="L63" s="20"/>
    </row>
    <row r="64" spans="1:12" x14ac:dyDescent="0.25">
      <c r="A64" s="66"/>
      <c r="B64" s="143"/>
      <c r="C64" s="144">
        <v>675.28</v>
      </c>
      <c r="D64" s="158" t="s">
        <v>19</v>
      </c>
      <c r="E64" s="43"/>
      <c r="F64" s="159"/>
      <c r="G64" s="160"/>
      <c r="H64" s="160"/>
      <c r="I64" s="160"/>
      <c r="J64" s="160"/>
      <c r="K64" s="161"/>
      <c r="L64" s="23"/>
    </row>
    <row r="65" spans="1:12" x14ac:dyDescent="0.25">
      <c r="A65" s="66"/>
      <c r="B65" s="143"/>
      <c r="C65" s="144">
        <v>689.72</v>
      </c>
      <c r="D65" s="158" t="s">
        <v>19</v>
      </c>
      <c r="E65" s="43"/>
      <c r="F65" s="159"/>
      <c r="G65" s="160"/>
      <c r="H65" s="160"/>
      <c r="I65" s="160"/>
      <c r="J65" s="160"/>
      <c r="K65" s="161"/>
      <c r="L65" s="23"/>
    </row>
    <row r="66" spans="1:12" ht="16.5" thickBot="1" x14ac:dyDescent="0.3">
      <c r="A66" s="66"/>
      <c r="B66" s="143"/>
      <c r="C66" s="144">
        <v>340.26</v>
      </c>
      <c r="D66" s="158" t="s">
        <v>20</v>
      </c>
      <c r="E66" s="43"/>
      <c r="F66" s="159"/>
      <c r="G66" s="160"/>
      <c r="H66" s="160"/>
      <c r="I66" s="160"/>
      <c r="J66" s="160"/>
      <c r="K66" s="161"/>
      <c r="L66" s="23"/>
    </row>
    <row r="67" spans="1:12" ht="16.5" thickBot="1" x14ac:dyDescent="0.3">
      <c r="A67" s="71" t="s">
        <v>458</v>
      </c>
      <c r="B67" s="166" t="s">
        <v>17</v>
      </c>
      <c r="C67" s="167"/>
      <c r="D67" s="168"/>
      <c r="E67" s="36" t="s">
        <v>8</v>
      </c>
      <c r="F67" s="119" t="s">
        <v>15</v>
      </c>
      <c r="G67" s="120"/>
      <c r="H67" s="120"/>
      <c r="I67" s="120"/>
      <c r="J67" s="120"/>
      <c r="K67" s="121"/>
      <c r="L67" s="39" t="s">
        <v>16</v>
      </c>
    </row>
    <row r="68" spans="1:12" x14ac:dyDescent="0.25">
      <c r="A68" s="66"/>
      <c r="B68" s="128"/>
      <c r="C68" s="129"/>
      <c r="D68" s="162"/>
      <c r="E68" s="43"/>
      <c r="F68" s="163"/>
      <c r="G68" s="164"/>
      <c r="H68" s="164"/>
      <c r="I68" s="164"/>
      <c r="J68" s="164"/>
      <c r="K68" s="165"/>
      <c r="L68" s="23"/>
    </row>
    <row r="69" spans="1:12" x14ac:dyDescent="0.25">
      <c r="A69" s="66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44"/>
    </row>
    <row r="70" spans="1:12" x14ac:dyDescent="0.25">
      <c r="A70" s="66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44"/>
    </row>
    <row r="71" spans="1:12" x14ac:dyDescent="0.25">
      <c r="A71" s="66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44"/>
    </row>
    <row r="72" spans="1:12" x14ac:dyDescent="0.25">
      <c r="A72" s="66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44"/>
    </row>
    <row r="73" spans="1:12" ht="16.5" thickBot="1" x14ac:dyDescent="0.3">
      <c r="A73" s="67"/>
      <c r="B73" s="149"/>
      <c r="C73" s="150"/>
      <c r="D73" s="169"/>
      <c r="E73" s="43"/>
      <c r="F73" s="170"/>
      <c r="G73" s="171"/>
      <c r="H73" s="171"/>
      <c r="I73" s="171"/>
      <c r="J73" s="171"/>
      <c r="K73" s="172"/>
      <c r="L73" s="29"/>
    </row>
    <row r="74" spans="1:12" ht="16.5" thickBot="1" x14ac:dyDescent="0.3">
      <c r="A74" s="70" t="s">
        <v>458</v>
      </c>
      <c r="B74" s="173" t="s">
        <v>463</v>
      </c>
      <c r="C74" s="174"/>
      <c r="D74" s="175"/>
      <c r="E74" s="36" t="s">
        <v>8</v>
      </c>
      <c r="F74" s="119" t="s">
        <v>15</v>
      </c>
      <c r="G74" s="120"/>
      <c r="H74" s="120"/>
      <c r="I74" s="120"/>
      <c r="J74" s="120"/>
      <c r="K74" s="121"/>
      <c r="L74" s="39" t="s">
        <v>16</v>
      </c>
    </row>
    <row r="75" spans="1:12" ht="16.5" thickBot="1" x14ac:dyDescent="0.3">
      <c r="A75" s="17" t="s">
        <v>143</v>
      </c>
      <c r="B75" s="128" t="s">
        <v>694</v>
      </c>
      <c r="C75" s="129"/>
      <c r="D75" s="162"/>
      <c r="E75" s="43">
        <v>413.93</v>
      </c>
      <c r="F75" s="163"/>
      <c r="G75" s="164"/>
      <c r="H75" s="164"/>
      <c r="I75" s="164"/>
      <c r="J75" s="164"/>
      <c r="K75" s="165"/>
      <c r="L75" s="23" t="s">
        <v>33</v>
      </c>
    </row>
    <row r="76" spans="1:12" x14ac:dyDescent="0.25">
      <c r="A76" s="17" t="s">
        <v>107</v>
      </c>
      <c r="B76" s="128" t="s">
        <v>534</v>
      </c>
      <c r="C76" s="129"/>
      <c r="D76" s="162"/>
      <c r="E76" s="43">
        <v>380.15</v>
      </c>
      <c r="F76" s="159"/>
      <c r="G76" s="160"/>
      <c r="H76" s="160"/>
      <c r="I76" s="160"/>
      <c r="J76" s="160"/>
      <c r="K76" s="161"/>
      <c r="L76" s="23" t="s">
        <v>33</v>
      </c>
    </row>
    <row r="77" spans="1:12" x14ac:dyDescent="0.25">
      <c r="A77" s="17" t="s">
        <v>38</v>
      </c>
      <c r="B77" s="143" t="s">
        <v>488</v>
      </c>
      <c r="C77" s="144"/>
      <c r="D77" s="158"/>
      <c r="E77" s="43">
        <v>393.78</v>
      </c>
      <c r="F77" s="159"/>
      <c r="G77" s="160"/>
      <c r="H77" s="160"/>
      <c r="I77" s="160"/>
      <c r="J77" s="160"/>
      <c r="K77" s="161"/>
      <c r="L77" s="23" t="s">
        <v>33</v>
      </c>
    </row>
    <row r="78" spans="1:12" x14ac:dyDescent="0.25">
      <c r="A78" s="17" t="s">
        <v>190</v>
      </c>
      <c r="B78" s="143" t="s">
        <v>541</v>
      </c>
      <c r="C78" s="144"/>
      <c r="D78" s="158"/>
      <c r="E78" s="43">
        <v>476.17</v>
      </c>
      <c r="F78" s="159"/>
      <c r="G78" s="160"/>
      <c r="H78" s="160"/>
      <c r="I78" s="160"/>
      <c r="J78" s="160"/>
      <c r="K78" s="161"/>
      <c r="L78" s="23" t="s">
        <v>33</v>
      </c>
    </row>
    <row r="79" spans="1:12" x14ac:dyDescent="0.25">
      <c r="A79" s="17" t="s">
        <v>295</v>
      </c>
      <c r="B79" s="143" t="s">
        <v>695</v>
      </c>
      <c r="C79" s="144"/>
      <c r="D79" s="158"/>
      <c r="E79" s="43">
        <v>441.81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296</v>
      </c>
      <c r="B80" s="143" t="s">
        <v>696</v>
      </c>
      <c r="C80" s="144"/>
      <c r="D80" s="158"/>
      <c r="E80" s="43">
        <v>483.94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17" t="s">
        <v>42</v>
      </c>
      <c r="B81" s="143" t="s">
        <v>492</v>
      </c>
      <c r="C81" s="144"/>
      <c r="D81" s="158"/>
      <c r="E81" s="43">
        <v>155.22</v>
      </c>
      <c r="F81" s="159" t="s">
        <v>697</v>
      </c>
      <c r="G81" s="160"/>
      <c r="H81" s="160"/>
      <c r="I81" s="160"/>
      <c r="J81" s="160"/>
      <c r="K81" s="161"/>
      <c r="L81" s="23" t="s">
        <v>71</v>
      </c>
    </row>
    <row r="82" spans="1:12" x14ac:dyDescent="0.25">
      <c r="A82" s="17" t="s">
        <v>297</v>
      </c>
      <c r="B82" s="143" t="s">
        <v>698</v>
      </c>
      <c r="C82" s="144"/>
      <c r="D82" s="158"/>
      <c r="E82" s="43">
        <v>415.21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17" t="s">
        <v>140</v>
      </c>
      <c r="B83" s="143" t="s">
        <v>556</v>
      </c>
      <c r="C83" s="144"/>
      <c r="D83" s="158"/>
      <c r="E83" s="43">
        <v>942.07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17" t="s">
        <v>306</v>
      </c>
      <c r="B84" s="143" t="s">
        <v>169</v>
      </c>
      <c r="C84" s="144"/>
      <c r="D84" s="158"/>
      <c r="E84" s="43">
        <v>438.6</v>
      </c>
      <c r="F84" s="159"/>
      <c r="G84" s="160"/>
      <c r="H84" s="160"/>
      <c r="I84" s="160"/>
      <c r="J84" s="160"/>
      <c r="K84" s="161"/>
      <c r="L84" s="17" t="s">
        <v>33</v>
      </c>
    </row>
    <row r="85" spans="1:12" x14ac:dyDescent="0.25">
      <c r="A85" s="17" t="s">
        <v>42</v>
      </c>
      <c r="B85" s="74"/>
      <c r="C85" s="75" t="s">
        <v>492</v>
      </c>
      <c r="D85" s="76"/>
      <c r="E85" s="43">
        <v>323.01</v>
      </c>
      <c r="F85" s="77"/>
      <c r="G85" s="78"/>
      <c r="H85" s="78"/>
      <c r="I85" s="78"/>
      <c r="J85" s="78"/>
      <c r="K85" s="79"/>
      <c r="L85" s="17" t="s">
        <v>33</v>
      </c>
    </row>
    <row r="86" spans="1:12" x14ac:dyDescent="0.25">
      <c r="A86" s="17" t="s">
        <v>91</v>
      </c>
      <c r="B86" s="74"/>
      <c r="C86" s="75" t="s">
        <v>525</v>
      </c>
      <c r="D86" s="76"/>
      <c r="E86" s="43">
        <v>1435.66</v>
      </c>
      <c r="F86" s="77"/>
      <c r="G86" s="78"/>
      <c r="H86" s="78"/>
      <c r="I86" s="78"/>
      <c r="J86" s="78"/>
      <c r="K86" s="79"/>
      <c r="L86" s="17" t="s">
        <v>33</v>
      </c>
    </row>
    <row r="87" spans="1:12" x14ac:dyDescent="0.25">
      <c r="A87" s="17" t="s">
        <v>309</v>
      </c>
      <c r="B87" s="74"/>
      <c r="C87" s="75" t="s">
        <v>699</v>
      </c>
      <c r="D87" s="76"/>
      <c r="E87" s="43">
        <v>1675.91</v>
      </c>
      <c r="F87" s="77"/>
      <c r="G87" s="78"/>
      <c r="H87" s="78"/>
      <c r="I87" s="78"/>
      <c r="J87" s="78"/>
      <c r="K87" s="79"/>
      <c r="L87" s="17" t="s">
        <v>33</v>
      </c>
    </row>
    <row r="88" spans="1:12" x14ac:dyDescent="0.25">
      <c r="A88" s="17" t="s">
        <v>311</v>
      </c>
      <c r="B88" s="74"/>
      <c r="C88" s="75" t="s">
        <v>519</v>
      </c>
      <c r="D88" s="76"/>
      <c r="E88" s="43">
        <v>763.89</v>
      </c>
      <c r="F88" s="77"/>
      <c r="G88" s="78"/>
      <c r="H88" s="78"/>
      <c r="I88" s="78"/>
      <c r="J88" s="78"/>
      <c r="K88" s="79"/>
      <c r="L88" s="17" t="s">
        <v>33</v>
      </c>
    </row>
    <row r="89" spans="1:12" x14ac:dyDescent="0.25">
      <c r="A89" s="17" t="s">
        <v>312</v>
      </c>
      <c r="B89" s="74"/>
      <c r="C89" s="75" t="s">
        <v>700</v>
      </c>
      <c r="D89" s="76"/>
      <c r="E89" s="43">
        <v>325.89</v>
      </c>
      <c r="F89" s="77"/>
      <c r="G89" s="78"/>
      <c r="H89" s="78"/>
      <c r="I89" s="78"/>
      <c r="J89" s="78"/>
      <c r="K89" s="79"/>
      <c r="L89" s="17" t="s">
        <v>33</v>
      </c>
    </row>
    <row r="90" spans="1:12" x14ac:dyDescent="0.25">
      <c r="A90" s="17" t="s">
        <v>98</v>
      </c>
      <c r="B90" s="74"/>
      <c r="C90" s="75" t="s">
        <v>529</v>
      </c>
      <c r="D90" s="76"/>
      <c r="E90" s="43">
        <v>404.74</v>
      </c>
      <c r="F90" s="77"/>
      <c r="G90" s="78"/>
      <c r="H90" s="78"/>
      <c r="I90" s="78"/>
      <c r="J90" s="78"/>
      <c r="K90" s="79"/>
      <c r="L90" s="17" t="s">
        <v>33</v>
      </c>
    </row>
    <row r="91" spans="1:12" x14ac:dyDescent="0.25">
      <c r="A91" s="17" t="s">
        <v>196</v>
      </c>
      <c r="B91" s="74"/>
      <c r="C91" s="75" t="s">
        <v>524</v>
      </c>
      <c r="D91" s="76"/>
      <c r="E91" s="43">
        <v>2540</v>
      </c>
      <c r="F91" s="77"/>
      <c r="G91" s="78"/>
      <c r="H91" s="78"/>
      <c r="I91" s="78"/>
      <c r="J91" s="78"/>
      <c r="K91" s="79"/>
      <c r="L91" s="17" t="s">
        <v>33</v>
      </c>
    </row>
    <row r="92" spans="1:12" x14ac:dyDescent="0.25">
      <c r="A92" s="17" t="s">
        <v>65</v>
      </c>
      <c r="B92" s="74"/>
      <c r="C92" s="75" t="s">
        <v>496</v>
      </c>
      <c r="D92" s="76"/>
      <c r="E92" s="43">
        <v>315.55</v>
      </c>
      <c r="F92" s="77"/>
      <c r="G92" s="78"/>
      <c r="H92" s="78"/>
      <c r="I92" s="78"/>
      <c r="J92" s="78"/>
      <c r="K92" s="79"/>
      <c r="L92" s="17" t="s">
        <v>33</v>
      </c>
    </row>
    <row r="93" spans="1:12" x14ac:dyDescent="0.25">
      <c r="A93" s="17" t="s">
        <v>235</v>
      </c>
      <c r="B93" s="74"/>
      <c r="C93" s="75" t="s">
        <v>234</v>
      </c>
      <c r="D93" s="76"/>
      <c r="E93" s="43">
        <v>936.42</v>
      </c>
      <c r="F93" s="77"/>
      <c r="G93" s="78"/>
      <c r="H93" s="78"/>
      <c r="I93" s="78"/>
      <c r="J93" s="78"/>
      <c r="K93" s="79"/>
      <c r="L93" s="17" t="s">
        <v>33</v>
      </c>
    </row>
    <row r="94" spans="1:12" x14ac:dyDescent="0.25">
      <c r="A94" s="17" t="s">
        <v>313</v>
      </c>
      <c r="B94" s="74"/>
      <c r="C94" s="75" t="s">
        <v>701</v>
      </c>
      <c r="D94" s="76"/>
      <c r="E94" s="43">
        <v>350.37</v>
      </c>
      <c r="F94" s="77"/>
      <c r="G94" s="78"/>
      <c r="H94" s="78"/>
      <c r="I94" s="78"/>
      <c r="J94" s="78"/>
      <c r="K94" s="79"/>
      <c r="L94" s="17" t="s">
        <v>33</v>
      </c>
    </row>
    <row r="95" spans="1:12" x14ac:dyDescent="0.25">
      <c r="A95" s="17" t="s">
        <v>103</v>
      </c>
      <c r="B95" s="74"/>
      <c r="C95" s="75" t="s">
        <v>532</v>
      </c>
      <c r="D95" s="76"/>
      <c r="E95" s="43">
        <v>308.2</v>
      </c>
      <c r="F95" s="77"/>
      <c r="G95" s="78"/>
      <c r="H95" s="78"/>
      <c r="I95" s="78"/>
      <c r="J95" s="78"/>
      <c r="K95" s="79"/>
      <c r="L95" s="17" t="s">
        <v>33</v>
      </c>
    </row>
    <row r="96" spans="1:12" x14ac:dyDescent="0.25">
      <c r="A96" s="17" t="s">
        <v>144</v>
      </c>
      <c r="B96" s="74"/>
      <c r="C96" s="75" t="s">
        <v>314</v>
      </c>
      <c r="D96" s="76"/>
      <c r="E96" s="43">
        <v>404.81</v>
      </c>
      <c r="F96" s="77"/>
      <c r="G96" s="78"/>
      <c r="H96" s="78"/>
      <c r="I96" s="78"/>
      <c r="J96" s="78"/>
      <c r="K96" s="79"/>
      <c r="L96" s="17" t="s">
        <v>33</v>
      </c>
    </row>
    <row r="97" spans="1:12" x14ac:dyDescent="0.25">
      <c r="A97" s="17" t="s">
        <v>317</v>
      </c>
      <c r="B97" s="74"/>
      <c r="C97" s="75" t="s">
        <v>316</v>
      </c>
      <c r="D97" s="76"/>
      <c r="E97" s="43">
        <v>1113.6199999999999</v>
      </c>
      <c r="F97" s="77"/>
      <c r="G97" s="78"/>
      <c r="H97" s="78"/>
      <c r="I97" s="78"/>
      <c r="J97" s="78"/>
      <c r="K97" s="79"/>
      <c r="L97" s="17" t="s">
        <v>33</v>
      </c>
    </row>
    <row r="98" spans="1:12" x14ac:dyDescent="0.25">
      <c r="A98" s="17"/>
      <c r="B98" s="74"/>
      <c r="C98" s="75"/>
      <c r="D98" s="76"/>
      <c r="E98" s="43"/>
      <c r="F98" s="77"/>
      <c r="G98" s="78"/>
      <c r="H98" s="78"/>
      <c r="I98" s="78"/>
      <c r="J98" s="78"/>
      <c r="K98" s="79"/>
      <c r="L98" s="17"/>
    </row>
    <row r="99" spans="1:12" x14ac:dyDescent="0.25">
      <c r="A99" s="17"/>
      <c r="B99" s="74"/>
      <c r="C99" s="75"/>
      <c r="D99" s="76"/>
      <c r="E99" s="43"/>
      <c r="F99" s="77"/>
      <c r="G99" s="78"/>
      <c r="H99" s="78"/>
      <c r="I99" s="78"/>
      <c r="J99" s="78"/>
      <c r="K99" s="79"/>
      <c r="L99" s="17"/>
    </row>
    <row r="100" spans="1:12" x14ac:dyDescent="0.25">
      <c r="A100" s="17"/>
      <c r="B100" s="143"/>
      <c r="C100" s="144"/>
      <c r="D100" s="158"/>
      <c r="E100" s="43"/>
      <c r="F100" s="159"/>
      <c r="G100" s="160"/>
      <c r="H100" s="160"/>
      <c r="I100" s="160"/>
      <c r="J100" s="160"/>
      <c r="K100" s="161"/>
      <c r="L100" s="17"/>
    </row>
    <row r="101" spans="1:12" ht="16.5" thickBot="1" x14ac:dyDescent="0.3">
      <c r="A101" s="26"/>
      <c r="B101" s="149"/>
      <c r="C101" s="150"/>
      <c r="D101" s="169"/>
      <c r="E101" s="45"/>
      <c r="F101" s="170"/>
      <c r="G101" s="171"/>
      <c r="H101" s="171"/>
      <c r="I101" s="171"/>
      <c r="J101" s="171"/>
      <c r="K101" s="172"/>
      <c r="L101" s="26"/>
    </row>
    <row r="102" spans="1:12" x14ac:dyDescent="0.25">
      <c r="A102" s="68"/>
      <c r="B102" s="69"/>
      <c r="C102" s="46"/>
      <c r="D102" s="46"/>
      <c r="F102" s="47"/>
      <c r="G102" s="47"/>
      <c r="H102" s="47"/>
      <c r="I102" s="47"/>
      <c r="J102" s="47"/>
      <c r="K102" s="47"/>
    </row>
    <row r="103" spans="1:12" x14ac:dyDescent="0.25">
      <c r="B103" s="176" t="s">
        <v>464</v>
      </c>
      <c r="C103" s="176"/>
      <c r="D103" s="176"/>
      <c r="E103" s="6">
        <f>SUM(E39:E47)</f>
        <v>477.70000000000005</v>
      </c>
      <c r="F103" s="6"/>
      <c r="G103" s="6"/>
      <c r="H103" s="6"/>
      <c r="I103" s="6"/>
      <c r="J103" s="6"/>
      <c r="K103" s="6"/>
    </row>
    <row r="104" spans="1:12" x14ac:dyDescent="0.25">
      <c r="B104" s="176" t="s">
        <v>465</v>
      </c>
      <c r="C104" s="176"/>
      <c r="D104" s="176"/>
      <c r="E104" s="6">
        <f>SUM(E20:E37)</f>
        <v>6413.88</v>
      </c>
    </row>
    <row r="105" spans="1:12" x14ac:dyDescent="0.25">
      <c r="B105" s="176" t="s">
        <v>466</v>
      </c>
      <c r="C105" s="176"/>
      <c r="D105" s="176"/>
      <c r="E105" s="6">
        <f>SUM(E49:E66)</f>
        <v>10182.48</v>
      </c>
    </row>
    <row r="110" spans="1:12" ht="18.75" x14ac:dyDescent="0.3">
      <c r="B110" s="48"/>
    </row>
  </sheetData>
  <mergeCells count="143">
    <mergeCell ref="B33:D33"/>
    <mergeCell ref="H33:K33"/>
    <mergeCell ref="B34:D34"/>
    <mergeCell ref="H34:K34"/>
    <mergeCell ref="B35:D35"/>
    <mergeCell ref="H35:K35"/>
    <mergeCell ref="B36:D36"/>
    <mergeCell ref="H36:K36"/>
    <mergeCell ref="F38:K38"/>
    <mergeCell ref="B48:D48"/>
    <mergeCell ref="F48:K48"/>
    <mergeCell ref="B53:D53"/>
    <mergeCell ref="F53:K53"/>
    <mergeCell ref="B44:D44"/>
    <mergeCell ref="F44:K44"/>
    <mergeCell ref="B45:D45"/>
    <mergeCell ref="F45:K45"/>
    <mergeCell ref="B46:D46"/>
    <mergeCell ref="F46:K46"/>
    <mergeCell ref="B49:D49"/>
    <mergeCell ref="F49:K49"/>
    <mergeCell ref="B50:D50"/>
    <mergeCell ref="F50:K50"/>
    <mergeCell ref="B51:D51"/>
    <mergeCell ref="F51:K51"/>
    <mergeCell ref="B52:D52"/>
    <mergeCell ref="F52:K52"/>
    <mergeCell ref="B41:D41"/>
    <mergeCell ref="B42:D42"/>
    <mergeCell ref="B43:D43"/>
    <mergeCell ref="F43:K43"/>
    <mergeCell ref="B37:D37"/>
    <mergeCell ref="H37:K37"/>
    <mergeCell ref="B38:D38"/>
    <mergeCell ref="B40:D40"/>
    <mergeCell ref="B47:D47"/>
    <mergeCell ref="F47:K47"/>
    <mergeCell ref="F40:K40"/>
    <mergeCell ref="F41:K41"/>
    <mergeCell ref="F42:K42"/>
    <mergeCell ref="B39:D39"/>
    <mergeCell ref="F39:K39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8:C8"/>
    <mergeCell ref="D8:E8"/>
    <mergeCell ref="F8:G8"/>
    <mergeCell ref="B19:D19"/>
    <mergeCell ref="H19:K19"/>
    <mergeCell ref="B20:D20"/>
    <mergeCell ref="H20:K20"/>
    <mergeCell ref="B24:D24"/>
    <mergeCell ref="H24:K24"/>
    <mergeCell ref="A18:L18"/>
    <mergeCell ref="J1:L1"/>
    <mergeCell ref="E3:F3"/>
    <mergeCell ref="I3:L3"/>
    <mergeCell ref="I4:J4"/>
    <mergeCell ref="K4:L4"/>
    <mergeCell ref="I5:J5"/>
    <mergeCell ref="K5:L5"/>
    <mergeCell ref="I15:K15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F66:K66"/>
    <mergeCell ref="B67:D67"/>
    <mergeCell ref="F67:K67"/>
    <mergeCell ref="B68:D68"/>
    <mergeCell ref="F68:K68"/>
    <mergeCell ref="F54:K54"/>
    <mergeCell ref="B64:D64"/>
    <mergeCell ref="F64:K64"/>
    <mergeCell ref="B65:D65"/>
    <mergeCell ref="F65:K65"/>
    <mergeCell ref="B54:D54"/>
    <mergeCell ref="B66:D66"/>
    <mergeCell ref="B76:D76"/>
    <mergeCell ref="F76:K76"/>
    <mergeCell ref="B69:D69"/>
    <mergeCell ref="F69:K69"/>
    <mergeCell ref="B70:D70"/>
    <mergeCell ref="F70:K70"/>
    <mergeCell ref="B71:D71"/>
    <mergeCell ref="F71:K71"/>
    <mergeCell ref="B75:D75"/>
    <mergeCell ref="F75:K75"/>
    <mergeCell ref="B72:D72"/>
    <mergeCell ref="F72:K72"/>
    <mergeCell ref="B73:D73"/>
    <mergeCell ref="F73:K73"/>
    <mergeCell ref="B74:D74"/>
    <mergeCell ref="F74:K74"/>
    <mergeCell ref="B100:D100"/>
    <mergeCell ref="F100:K100"/>
    <mergeCell ref="B101:D101"/>
    <mergeCell ref="F101:K101"/>
    <mergeCell ref="B103:D103"/>
    <mergeCell ref="B104:D104"/>
    <mergeCell ref="B105:D105"/>
    <mergeCell ref="B83:D83"/>
    <mergeCell ref="F83:K83"/>
    <mergeCell ref="B84:D84"/>
    <mergeCell ref="F84:K84"/>
    <mergeCell ref="B77:D77"/>
    <mergeCell ref="F77:K77"/>
    <mergeCell ref="B80:D80"/>
    <mergeCell ref="F80:K80"/>
    <mergeCell ref="B79:D79"/>
    <mergeCell ref="F79:K79"/>
    <mergeCell ref="B78:D78"/>
    <mergeCell ref="F78:K78"/>
    <mergeCell ref="B82:D82"/>
    <mergeCell ref="F82:K82"/>
    <mergeCell ref="B81:D81"/>
    <mergeCell ref="F81:K81"/>
  </mergeCells>
  <phoneticPr fontId="10" type="noConversion"/>
  <conditionalFormatting sqref="A18:A19 B80:XFD107">
    <cfRule type="cellIs" dxfId="428" priority="1" stopIfTrue="1" operator="equal">
      <formula>"OK"</formula>
    </cfRule>
  </conditionalFormatting>
  <conditionalFormatting sqref="A108:XFD1048576">
    <cfRule type="cellIs" dxfId="427" priority="13" stopIfTrue="1" operator="equal">
      <formula>"OK"</formula>
    </cfRule>
  </conditionalFormatting>
  <conditionalFormatting sqref="B49:B52 B20:H37">
    <cfRule type="expression" dxfId="426" priority="20">
      <formula>$J20="ancien paiement"</formula>
    </cfRule>
  </conditionalFormatting>
  <conditionalFormatting sqref="B69:B71 E69:F71 B76:D76 E76:F77 B77 B78:XFD78 B79 E79:F79 B19:H37 B38:XFD47 B72:XFD75 B67:XFD68 B1:J1 M1:XFD1 A2:XFD2 E3 G3:I3 M3:XFD3 B3:D6 K4 P4:XFD7 K5:L7 B7:I7 B8:D8 F8 I8 M8:XFD8 L9:XFD16 A17:XFD17 M18:XFD18 L19:XFD37 M48:XFD66 L69:XFD71 L76:XFD77 L79:XFD79">
    <cfRule type="cellIs" dxfId="425" priority="22" stopIfTrue="1" operator="equal">
      <formula>"OK"</formula>
    </cfRule>
  </conditionalFormatting>
  <conditionalFormatting sqref="B9:I16">
    <cfRule type="cellIs" dxfId="424" priority="11" stopIfTrue="1" operator="equal">
      <formula>"OK"</formula>
    </cfRule>
  </conditionalFormatting>
  <conditionalFormatting sqref="B39:K39">
    <cfRule type="expression" dxfId="423" priority="18">
      <formula>$J39="ancien paiement"</formula>
    </cfRule>
  </conditionalFormatting>
  <conditionalFormatting sqref="B39:K48 B49:B52">
    <cfRule type="expression" dxfId="422" priority="5">
      <formula>$F39="ancien paiement"</formula>
    </cfRule>
  </conditionalFormatting>
  <conditionalFormatting sqref="B41:K48">
    <cfRule type="expression" dxfId="421" priority="6">
      <formula>$J41="ancien paiement"</formula>
    </cfRule>
  </conditionalFormatting>
  <conditionalFormatting sqref="B54:K68">
    <cfRule type="expression" dxfId="420" priority="7">
      <formula>$F54="ancien paiement"</formula>
    </cfRule>
    <cfRule type="expression" dxfId="419" priority="8">
      <formula>$J54="ancien paiement"</formula>
    </cfRule>
  </conditionalFormatting>
  <conditionalFormatting sqref="B72:K73">
    <cfRule type="expression" dxfId="418" priority="16">
      <formula>$F72="ancien paiement"</formula>
    </cfRule>
    <cfRule type="expression" dxfId="417" priority="17">
      <formula>$J72="ancien paiement"</formula>
    </cfRule>
  </conditionalFormatting>
  <conditionalFormatting sqref="B75:K75">
    <cfRule type="expression" dxfId="416" priority="14">
      <formula>$F75="ancien paiement"</formula>
    </cfRule>
    <cfRule type="expression" dxfId="415" priority="15">
      <formula>$J75="ancien paiement"</formula>
    </cfRule>
  </conditionalFormatting>
  <conditionalFormatting sqref="B80:K101 B69:B71 E69:F71 B76:D76 E76:F77 B77 B78:K78 B79 E79:F79">
    <cfRule type="expression" dxfId="414" priority="19">
      <formula>$F69="ancien paiement"</formula>
    </cfRule>
    <cfRule type="expression" dxfId="413" priority="21">
      <formula>$J69="ancien paiement"</formula>
    </cfRule>
  </conditionalFormatting>
  <conditionalFormatting sqref="B51:L66 B48:L49 B50:D50">
    <cfRule type="cellIs" dxfId="412" priority="9" stopIfTrue="1" operator="equal">
      <formula>"OK"</formula>
    </cfRule>
  </conditionalFormatting>
  <conditionalFormatting sqref="E49">
    <cfRule type="expression" dxfId="411" priority="10">
      <formula>#REF!="ancien paiement"</formula>
    </cfRule>
  </conditionalFormatting>
  <conditionalFormatting sqref="E49:F52">
    <cfRule type="expression" dxfId="410" priority="2">
      <formula>$F49="ancien paiement"</formula>
    </cfRule>
    <cfRule type="expression" dxfId="409" priority="3">
      <formula>$J49="ancien paiement"</formula>
    </cfRule>
  </conditionalFormatting>
  <conditionalFormatting sqref="E4:I6">
    <cfRule type="cellIs" dxfId="408" priority="12" stopIfTrue="1" operator="equal">
      <formula>"OK"</formula>
    </cfRule>
  </conditionalFormatting>
  <conditionalFormatting sqref="E50:L50">
    <cfRule type="cellIs" dxfId="407" priority="4" stopIfTrue="1" operator="equal">
      <formula>"OK"</formula>
    </cfRule>
  </conditionalFormatting>
  <pageMargins left="0.7" right="0.7" top="0.75" bottom="0.75" header="0.3" footer="0.3"/>
  <pageSetup paperSize="9" scale="4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62F3-09C8-4364-B5A8-A5E112577232}">
  <sheetPr>
    <pageSetUpPr fitToPage="1"/>
  </sheetPr>
  <dimension ref="A1:N240"/>
  <sheetViews>
    <sheetView topLeftCell="A20" workbookViewId="0">
      <selection activeCell="F46" sqref="F46:K4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46125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709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8140</v>
      </c>
      <c r="G4" s="1" t="s">
        <v>710</v>
      </c>
      <c r="I4" s="112" t="s">
        <v>3</v>
      </c>
      <c r="J4" s="113"/>
      <c r="K4" s="114">
        <f>E233+C14</f>
        <v>8149.2199999999993</v>
      </c>
      <c r="L4" s="115"/>
      <c r="N4" s="6"/>
    </row>
    <row r="5" spans="2:14" ht="16.5" thickBot="1" x14ac:dyDescent="0.3">
      <c r="E5" s="7" t="s">
        <v>4</v>
      </c>
      <c r="F5" s="8">
        <v>5447.35</v>
      </c>
      <c r="G5" s="1" t="s">
        <v>711</v>
      </c>
      <c r="I5" s="95" t="s">
        <v>5</v>
      </c>
      <c r="J5" s="96"/>
      <c r="K5" s="97">
        <f>E15+E234</f>
        <v>5447.3499999999995</v>
      </c>
      <c r="L5" s="98"/>
      <c r="N5" s="6"/>
    </row>
    <row r="6" spans="2:14" ht="16.5" thickBot="1" x14ac:dyDescent="0.3">
      <c r="E6" s="9" t="s">
        <v>445</v>
      </c>
      <c r="F6" s="10">
        <v>9.42</v>
      </c>
      <c r="I6" s="95" t="s">
        <v>446</v>
      </c>
      <c r="J6" s="96"/>
      <c r="K6" s="97">
        <f>G15+E235</f>
        <v>19299.849999999999</v>
      </c>
      <c r="L6" s="98"/>
    </row>
    <row r="7" spans="2:14" ht="16.5" thickBot="1" x14ac:dyDescent="0.3">
      <c r="I7" s="99" t="s">
        <v>6</v>
      </c>
      <c r="J7" s="100"/>
      <c r="K7" s="101">
        <f>SUM(E59:E209)</f>
        <v>293540.43000000005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2750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2020</v>
      </c>
      <c r="D10" s="19" t="s">
        <v>658</v>
      </c>
      <c r="E10" s="49">
        <v>821.3</v>
      </c>
      <c r="F10" s="20" t="s">
        <v>9</v>
      </c>
      <c r="G10" s="21">
        <v>19299.849999999999</v>
      </c>
      <c r="H10" s="6"/>
      <c r="I10" s="180" t="s">
        <v>659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1460</v>
      </c>
      <c r="D11" s="22" t="s">
        <v>471</v>
      </c>
      <c r="E11" s="50">
        <v>571.51</v>
      </c>
      <c r="F11" s="23" t="s">
        <v>454</v>
      </c>
      <c r="G11" s="24"/>
      <c r="H11" s="6"/>
      <c r="I11" s="183" t="s">
        <v>472</v>
      </c>
      <c r="J11" s="184"/>
      <c r="K11" s="185"/>
      <c r="L11" s="80">
        <v>80</v>
      </c>
    </row>
    <row r="12" spans="2:14" ht="21.6" customHeight="1" x14ac:dyDescent="0.25">
      <c r="B12" s="17" t="s">
        <v>455</v>
      </c>
      <c r="C12" s="18">
        <v>185</v>
      </c>
      <c r="D12" s="22"/>
      <c r="E12" s="50"/>
      <c r="F12" s="23"/>
      <c r="G12" s="24"/>
      <c r="H12" s="6"/>
      <c r="I12" s="183" t="s">
        <v>635</v>
      </c>
      <c r="J12" s="184"/>
      <c r="K12" s="185"/>
      <c r="L12" s="84">
        <v>3.8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712</v>
      </c>
      <c r="J13" s="141"/>
      <c r="K13" s="142"/>
      <c r="L13" s="24">
        <v>140</v>
      </c>
    </row>
    <row r="14" spans="2:14" ht="23.85" customHeight="1" x14ac:dyDescent="0.25">
      <c r="B14" s="25" t="s">
        <v>11</v>
      </c>
      <c r="C14" s="18">
        <f>SUM(C9:C13)</f>
        <v>6415</v>
      </c>
      <c r="D14" s="22"/>
      <c r="E14" s="50"/>
      <c r="F14" s="23"/>
      <c r="G14" s="24"/>
      <c r="H14" s="6"/>
      <c r="I14" s="140" t="s">
        <v>713</v>
      </c>
      <c r="J14" s="141"/>
      <c r="K14" s="142"/>
      <c r="L14" s="24">
        <v>345</v>
      </c>
    </row>
    <row r="15" spans="2:14" ht="24.6" customHeight="1" thickBot="1" x14ac:dyDescent="0.3">
      <c r="B15" s="26" t="s">
        <v>456</v>
      </c>
      <c r="C15" s="27">
        <v>374</v>
      </c>
      <c r="D15" s="28" t="s">
        <v>11</v>
      </c>
      <c r="E15" s="29">
        <f>SUM(E10:E14)</f>
        <v>1392.81</v>
      </c>
      <c r="F15" s="30" t="s">
        <v>11</v>
      </c>
      <c r="G15" s="31">
        <f>SUM(G10:G14)</f>
        <v>19299.849999999999</v>
      </c>
      <c r="H15" s="6"/>
      <c r="I15" s="116" t="s">
        <v>457</v>
      </c>
      <c r="J15" s="117"/>
      <c r="K15" s="118"/>
      <c r="L15" s="32">
        <f>C15-'11'!C15</f>
        <v>-38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-610.79999999999995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154</v>
      </c>
      <c r="B20" s="128" t="s">
        <v>550</v>
      </c>
      <c r="C20" s="129"/>
      <c r="D20" s="130"/>
      <c r="E20" s="20">
        <v>327.78</v>
      </c>
      <c r="F20" s="12" t="s">
        <v>75</v>
      </c>
      <c r="G20" s="51">
        <v>75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322</v>
      </c>
      <c r="B21" s="143" t="s">
        <v>714</v>
      </c>
      <c r="C21" s="144"/>
      <c r="D21" s="145"/>
      <c r="E21" s="20">
        <v>498.04</v>
      </c>
      <c r="F21" s="23" t="s">
        <v>44</v>
      </c>
      <c r="G21" s="52">
        <v>2232938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323</v>
      </c>
      <c r="B22" s="143" t="s">
        <v>715</v>
      </c>
      <c r="C22" s="144"/>
      <c r="D22" s="145"/>
      <c r="E22" s="20">
        <v>259.85000000000002</v>
      </c>
      <c r="F22" s="23" t="s">
        <v>56</v>
      </c>
      <c r="G22" s="52">
        <v>6704518</v>
      </c>
      <c r="H22" s="146" t="s">
        <v>716</v>
      </c>
      <c r="I22" s="147"/>
      <c r="J22" s="147"/>
      <c r="K22" s="148"/>
      <c r="L22" s="23" t="s">
        <v>33</v>
      </c>
    </row>
    <row r="23" spans="1:12" x14ac:dyDescent="0.25">
      <c r="A23" s="66" t="s">
        <v>330</v>
      </c>
      <c r="B23" s="143" t="s">
        <v>717</v>
      </c>
      <c r="C23" s="144"/>
      <c r="D23" s="145"/>
      <c r="E23" s="20">
        <v>307.81</v>
      </c>
      <c r="F23" s="23" t="s">
        <v>46</v>
      </c>
      <c r="G23" s="52">
        <v>3944333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55</v>
      </c>
      <c r="B24" s="143" t="s">
        <v>718</v>
      </c>
      <c r="C24" s="144"/>
      <c r="D24" s="145"/>
      <c r="E24" s="20">
        <v>282.60000000000002</v>
      </c>
      <c r="F24" s="23" t="s">
        <v>56</v>
      </c>
      <c r="G24" s="52">
        <v>9427107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34</v>
      </c>
      <c r="B25" s="143" t="s">
        <v>719</v>
      </c>
      <c r="C25" s="144"/>
      <c r="D25" s="145"/>
      <c r="E25" s="20">
        <v>270.89</v>
      </c>
      <c r="F25" s="23" t="s">
        <v>35</v>
      </c>
      <c r="G25" s="52">
        <v>8622365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335</v>
      </c>
      <c r="B26" s="143" t="s">
        <v>336</v>
      </c>
      <c r="C26" s="144"/>
      <c r="D26" s="145"/>
      <c r="E26" s="20">
        <v>322.62</v>
      </c>
      <c r="F26" s="23" t="s">
        <v>46</v>
      </c>
      <c r="G26" s="52">
        <v>3895400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189</v>
      </c>
      <c r="B27" s="143" t="s">
        <v>720</v>
      </c>
      <c r="C27" s="144"/>
      <c r="D27" s="145"/>
      <c r="E27" s="20">
        <v>681.13</v>
      </c>
      <c r="F27" s="23" t="s">
        <v>75</v>
      </c>
      <c r="G27" s="52">
        <v>3000484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90</v>
      </c>
      <c r="B28" s="143" t="s">
        <v>721</v>
      </c>
      <c r="C28" s="144"/>
      <c r="D28" s="145"/>
      <c r="E28" s="20">
        <v>573.41</v>
      </c>
      <c r="F28" s="23" t="s">
        <v>75</v>
      </c>
      <c r="G28" s="52">
        <v>300</v>
      </c>
      <c r="H28" s="146"/>
      <c r="I28" s="147"/>
      <c r="J28" s="147"/>
      <c r="K28" s="148"/>
      <c r="L28" s="23" t="s">
        <v>33</v>
      </c>
    </row>
    <row r="29" spans="1:12" x14ac:dyDescent="0.25">
      <c r="A29" s="66" t="s">
        <v>342</v>
      </c>
      <c r="B29" s="143" t="s">
        <v>343</v>
      </c>
      <c r="C29" s="144"/>
      <c r="D29" s="145"/>
      <c r="E29" s="20">
        <v>304.68</v>
      </c>
      <c r="F29" s="23" t="s">
        <v>56</v>
      </c>
      <c r="G29" s="52">
        <v>1681133</v>
      </c>
      <c r="H29" s="146"/>
      <c r="I29" s="147"/>
      <c r="J29" s="147"/>
      <c r="K29" s="148"/>
      <c r="L29" s="23" t="s">
        <v>33</v>
      </c>
    </row>
    <row r="30" spans="1:12" x14ac:dyDescent="0.25">
      <c r="A30" s="66" t="s">
        <v>183</v>
      </c>
      <c r="B30" s="143" t="s">
        <v>722</v>
      </c>
      <c r="C30" s="144"/>
      <c r="D30" s="145"/>
      <c r="E30" s="20">
        <v>225.73</v>
      </c>
      <c r="F30" s="23" t="s">
        <v>344</v>
      </c>
      <c r="G30" s="52">
        <v>494</v>
      </c>
      <c r="H30" s="146"/>
      <c r="I30" s="147"/>
      <c r="J30" s="147"/>
      <c r="K30" s="148"/>
      <c r="L30" s="23" t="s">
        <v>33</v>
      </c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326</v>
      </c>
      <c r="B39" s="128" t="s">
        <v>723</v>
      </c>
      <c r="C39" s="129"/>
      <c r="D39" s="162"/>
      <c r="E39" s="41">
        <v>692.85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339</v>
      </c>
      <c r="B40" s="143" t="s">
        <v>340</v>
      </c>
      <c r="C40" s="144"/>
      <c r="D40" s="158"/>
      <c r="E40" s="43">
        <v>120.5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341</v>
      </c>
      <c r="B41" s="143" t="s">
        <v>724</v>
      </c>
      <c r="C41" s="144"/>
      <c r="D41" s="158"/>
      <c r="E41" s="43">
        <v>304.44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/>
      <c r="B42" s="143" t="s">
        <v>725</v>
      </c>
      <c r="C42" s="144"/>
      <c r="D42" s="158"/>
      <c r="E42" s="43">
        <v>616.42999999999995</v>
      </c>
      <c r="F42" s="159"/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 t="s">
        <v>726</v>
      </c>
      <c r="C59" s="129"/>
      <c r="D59" s="162"/>
      <c r="E59" s="43">
        <v>578.85</v>
      </c>
      <c r="F59" s="163"/>
      <c r="G59" s="164"/>
      <c r="H59" s="164"/>
      <c r="I59" s="164"/>
      <c r="J59" s="164"/>
      <c r="K59" s="165"/>
      <c r="L59" s="23" t="s">
        <v>33</v>
      </c>
    </row>
    <row r="60" spans="1:12" x14ac:dyDescent="0.25">
      <c r="A60" s="66"/>
      <c r="B60" s="143" t="s">
        <v>727</v>
      </c>
      <c r="C60" s="144"/>
      <c r="D60" s="158"/>
      <c r="E60" s="43">
        <v>8815.92</v>
      </c>
      <c r="F60" s="159"/>
      <c r="G60" s="160"/>
      <c r="H60" s="160"/>
      <c r="I60" s="160"/>
      <c r="J60" s="160"/>
      <c r="K60" s="161"/>
      <c r="L60" s="23" t="s">
        <v>33</v>
      </c>
    </row>
    <row r="61" spans="1:12" x14ac:dyDescent="0.25">
      <c r="A61" s="66"/>
      <c r="B61" s="143" t="s">
        <v>728</v>
      </c>
      <c r="C61" s="144"/>
      <c r="D61" s="158"/>
      <c r="E61" s="43">
        <v>4231.3999999999996</v>
      </c>
      <c r="F61" s="159"/>
      <c r="G61" s="160"/>
      <c r="H61" s="160"/>
      <c r="I61" s="160"/>
      <c r="J61" s="160"/>
      <c r="K61" s="161"/>
      <c r="L61" s="23" t="s">
        <v>33</v>
      </c>
    </row>
    <row r="62" spans="1:12" x14ac:dyDescent="0.25">
      <c r="A62" s="66"/>
      <c r="B62" s="143" t="s">
        <v>729</v>
      </c>
      <c r="C62" s="144"/>
      <c r="D62" s="158"/>
      <c r="E62" s="43">
        <v>305.83999999999997</v>
      </c>
      <c r="F62" s="159"/>
      <c r="G62" s="160"/>
      <c r="H62" s="160"/>
      <c r="I62" s="160"/>
      <c r="J62" s="160"/>
      <c r="K62" s="161"/>
      <c r="L62" s="23" t="s">
        <v>33</v>
      </c>
    </row>
    <row r="63" spans="1:12" x14ac:dyDescent="0.25">
      <c r="A63" s="66"/>
      <c r="B63" s="143" t="s">
        <v>730</v>
      </c>
      <c r="C63" s="144"/>
      <c r="D63" s="158"/>
      <c r="E63" s="43">
        <v>2986.94</v>
      </c>
      <c r="F63" s="159"/>
      <c r="G63" s="160"/>
      <c r="H63" s="160"/>
      <c r="I63" s="160"/>
      <c r="J63" s="160"/>
      <c r="K63" s="161"/>
      <c r="L63" s="23" t="s">
        <v>33</v>
      </c>
    </row>
    <row r="64" spans="1:12" x14ac:dyDescent="0.25">
      <c r="A64" s="66"/>
      <c r="B64" s="143" t="s">
        <v>731</v>
      </c>
      <c r="C64" s="144"/>
      <c r="D64" s="158"/>
      <c r="E64" s="43">
        <v>3960.09</v>
      </c>
      <c r="F64" s="159"/>
      <c r="G64" s="160"/>
      <c r="H64" s="160"/>
      <c r="I64" s="160"/>
      <c r="J64" s="160"/>
      <c r="K64" s="161"/>
      <c r="L64" s="23" t="s">
        <v>33</v>
      </c>
    </row>
    <row r="65" spans="1:12" x14ac:dyDescent="0.25">
      <c r="A65" s="66"/>
      <c r="B65" s="143" t="s">
        <v>732</v>
      </c>
      <c r="C65" s="144"/>
      <c r="D65" s="158"/>
      <c r="E65" s="43">
        <v>467.57</v>
      </c>
      <c r="F65" s="159"/>
      <c r="G65" s="160"/>
      <c r="H65" s="160"/>
      <c r="I65" s="160"/>
      <c r="J65" s="160"/>
      <c r="K65" s="161"/>
      <c r="L65" s="23" t="s">
        <v>33</v>
      </c>
    </row>
    <row r="66" spans="1:12" x14ac:dyDescent="0.25">
      <c r="A66" s="66"/>
      <c r="B66" s="143" t="s">
        <v>733</v>
      </c>
      <c r="C66" s="144"/>
      <c r="D66" s="158"/>
      <c r="E66" s="43">
        <v>302.60000000000002</v>
      </c>
      <c r="F66" s="159"/>
      <c r="G66" s="160"/>
      <c r="H66" s="160"/>
      <c r="I66" s="160"/>
      <c r="J66" s="160"/>
      <c r="K66" s="161"/>
      <c r="L66" s="23" t="s">
        <v>33</v>
      </c>
    </row>
    <row r="67" spans="1:12" x14ac:dyDescent="0.25">
      <c r="A67" s="66"/>
      <c r="B67" s="143" t="s">
        <v>734</v>
      </c>
      <c r="C67" s="144"/>
      <c r="D67" s="158"/>
      <c r="E67" s="43">
        <v>420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66"/>
      <c r="B68" s="143" t="s">
        <v>735</v>
      </c>
      <c r="C68" s="144"/>
      <c r="D68" s="158"/>
      <c r="E68" s="43">
        <v>413.07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66"/>
      <c r="B69" s="143" t="s">
        <v>736</v>
      </c>
      <c r="C69" s="144"/>
      <c r="D69" s="158"/>
      <c r="E69" s="43">
        <v>142.11000000000001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66"/>
      <c r="B70" s="143" t="s">
        <v>737</v>
      </c>
      <c r="C70" s="144"/>
      <c r="D70" s="158"/>
      <c r="E70" s="43">
        <v>436.88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66"/>
      <c r="B71" s="143" t="s">
        <v>738</v>
      </c>
      <c r="C71" s="144"/>
      <c r="D71" s="158"/>
      <c r="E71" s="43">
        <v>659.68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66"/>
      <c r="B72" s="143" t="s">
        <v>556</v>
      </c>
      <c r="C72" s="144"/>
      <c r="D72" s="158"/>
      <c r="E72" s="43">
        <v>777.05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66"/>
      <c r="B73" s="143" t="s">
        <v>739</v>
      </c>
      <c r="C73" s="144"/>
      <c r="D73" s="158"/>
      <c r="E73" s="43">
        <v>1605.77</v>
      </c>
      <c r="F73" s="159"/>
      <c r="G73" s="160"/>
      <c r="H73" s="160"/>
      <c r="I73" s="160"/>
      <c r="J73" s="160"/>
      <c r="K73" s="161"/>
      <c r="L73" s="23" t="s">
        <v>33</v>
      </c>
    </row>
    <row r="74" spans="1:12" x14ac:dyDescent="0.25">
      <c r="A74" s="66"/>
      <c r="B74" s="143" t="s">
        <v>740</v>
      </c>
      <c r="C74" s="144"/>
      <c r="D74" s="158"/>
      <c r="E74" s="43">
        <v>375.07</v>
      </c>
      <c r="F74" s="159"/>
      <c r="G74" s="160"/>
      <c r="H74" s="160"/>
      <c r="I74" s="160"/>
      <c r="J74" s="160"/>
      <c r="K74" s="161"/>
      <c r="L74" s="23" t="s">
        <v>33</v>
      </c>
    </row>
    <row r="75" spans="1:12" x14ac:dyDescent="0.25">
      <c r="A75" s="66"/>
      <c r="B75" s="143" t="s">
        <v>741</v>
      </c>
      <c r="C75" s="144"/>
      <c r="D75" s="158"/>
      <c r="E75" s="43">
        <v>45.11</v>
      </c>
      <c r="F75" s="159"/>
      <c r="G75" s="160"/>
      <c r="H75" s="160"/>
      <c r="I75" s="160"/>
      <c r="J75" s="160"/>
      <c r="K75" s="161"/>
      <c r="L75" s="23" t="s">
        <v>33</v>
      </c>
    </row>
    <row r="76" spans="1:12" x14ac:dyDescent="0.25">
      <c r="A76" s="66"/>
      <c r="B76" s="143" t="s">
        <v>741</v>
      </c>
      <c r="C76" s="144"/>
      <c r="D76" s="158"/>
      <c r="E76" s="43">
        <v>445.55</v>
      </c>
      <c r="F76" s="159"/>
      <c r="G76" s="160"/>
      <c r="H76" s="160"/>
      <c r="I76" s="160"/>
      <c r="J76" s="160"/>
      <c r="K76" s="161"/>
      <c r="L76" s="23" t="s">
        <v>33</v>
      </c>
    </row>
    <row r="77" spans="1:12" x14ac:dyDescent="0.25">
      <c r="A77" s="66"/>
      <c r="B77" s="143" t="s">
        <v>742</v>
      </c>
      <c r="C77" s="144"/>
      <c r="D77" s="158"/>
      <c r="E77" s="43">
        <v>3049.65</v>
      </c>
      <c r="F77" s="159"/>
      <c r="G77" s="160"/>
      <c r="H77" s="160"/>
      <c r="I77" s="160"/>
      <c r="J77" s="160"/>
      <c r="K77" s="161"/>
      <c r="L77" s="23" t="s">
        <v>33</v>
      </c>
    </row>
    <row r="78" spans="1:12" x14ac:dyDescent="0.25">
      <c r="A78" s="66"/>
      <c r="B78" s="143" t="s">
        <v>743</v>
      </c>
      <c r="C78" s="144"/>
      <c r="D78" s="158"/>
      <c r="E78" s="43">
        <v>690.72</v>
      </c>
      <c r="F78" s="159"/>
      <c r="G78" s="160"/>
      <c r="H78" s="160"/>
      <c r="I78" s="160"/>
      <c r="J78" s="160"/>
      <c r="K78" s="161"/>
      <c r="L78" s="23" t="s">
        <v>33</v>
      </c>
    </row>
    <row r="79" spans="1:12" x14ac:dyDescent="0.25">
      <c r="A79" s="66"/>
      <c r="B79" s="143" t="s">
        <v>741</v>
      </c>
      <c r="C79" s="144"/>
      <c r="D79" s="158"/>
      <c r="E79" s="43">
        <v>471.4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66"/>
      <c r="B80" s="143" t="s">
        <v>738</v>
      </c>
      <c r="C80" s="144"/>
      <c r="D80" s="158"/>
      <c r="E80" s="43">
        <v>526.45000000000005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66"/>
      <c r="B81" s="143" t="s">
        <v>744</v>
      </c>
      <c r="C81" s="144"/>
      <c r="D81" s="158"/>
      <c r="E81" s="43">
        <v>1041.3599999999999</v>
      </c>
      <c r="F81" s="159"/>
      <c r="G81" s="160"/>
      <c r="H81" s="160"/>
      <c r="I81" s="160"/>
      <c r="J81" s="160"/>
      <c r="K81" s="161"/>
      <c r="L81" s="23" t="s">
        <v>33</v>
      </c>
    </row>
    <row r="82" spans="1:12" x14ac:dyDescent="0.25">
      <c r="A82" s="66"/>
      <c r="B82" s="143" t="s">
        <v>745</v>
      </c>
      <c r="C82" s="144"/>
      <c r="D82" s="158"/>
      <c r="E82" s="43">
        <v>738.71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66"/>
      <c r="B83" s="143" t="s">
        <v>746</v>
      </c>
      <c r="C83" s="144"/>
      <c r="D83" s="158"/>
      <c r="E83" s="43">
        <v>308.83999999999997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66"/>
      <c r="B84" s="143" t="s">
        <v>739</v>
      </c>
      <c r="C84" s="144"/>
      <c r="D84" s="158"/>
      <c r="E84" s="43">
        <v>660.2</v>
      </c>
      <c r="F84" s="159"/>
      <c r="G84" s="160"/>
      <c r="H84" s="160"/>
      <c r="I84" s="160"/>
      <c r="J84" s="160"/>
      <c r="K84" s="161"/>
      <c r="L84" s="23" t="s">
        <v>33</v>
      </c>
    </row>
    <row r="85" spans="1:12" x14ac:dyDescent="0.25">
      <c r="A85" s="66"/>
      <c r="B85" s="143" t="s">
        <v>747</v>
      </c>
      <c r="C85" s="144"/>
      <c r="D85" s="158"/>
      <c r="E85" s="43">
        <v>8467.64</v>
      </c>
      <c r="F85" s="159"/>
      <c r="G85" s="160"/>
      <c r="H85" s="160"/>
      <c r="I85" s="160"/>
      <c r="J85" s="160"/>
      <c r="K85" s="161"/>
      <c r="L85" s="23" t="s">
        <v>33</v>
      </c>
    </row>
    <row r="86" spans="1:12" x14ac:dyDescent="0.25">
      <c r="A86" s="66"/>
      <c r="B86" s="143" t="s">
        <v>604</v>
      </c>
      <c r="C86" s="144"/>
      <c r="D86" s="158"/>
      <c r="E86" s="43">
        <v>308.82</v>
      </c>
      <c r="F86" s="159"/>
      <c r="G86" s="160"/>
      <c r="H86" s="160"/>
      <c r="I86" s="160"/>
      <c r="J86" s="160"/>
      <c r="K86" s="161"/>
      <c r="L86" s="23" t="s">
        <v>33</v>
      </c>
    </row>
    <row r="87" spans="1:12" x14ac:dyDescent="0.25">
      <c r="A87" s="66"/>
      <c r="B87" s="143" t="s">
        <v>748</v>
      </c>
      <c r="C87" s="144"/>
      <c r="D87" s="158"/>
      <c r="E87" s="43">
        <v>5658.14</v>
      </c>
      <c r="F87" s="159"/>
      <c r="G87" s="160"/>
      <c r="H87" s="160"/>
      <c r="I87" s="160"/>
      <c r="J87" s="160"/>
      <c r="K87" s="161"/>
      <c r="L87" s="23" t="s">
        <v>33</v>
      </c>
    </row>
    <row r="88" spans="1:12" x14ac:dyDescent="0.25">
      <c r="A88" s="66"/>
      <c r="B88" s="143" t="s">
        <v>749</v>
      </c>
      <c r="C88" s="144"/>
      <c r="D88" s="158"/>
      <c r="E88" s="43">
        <v>1423.06</v>
      </c>
      <c r="F88" s="159"/>
      <c r="G88" s="160"/>
      <c r="H88" s="160"/>
      <c r="I88" s="160"/>
      <c r="J88" s="160"/>
      <c r="K88" s="161"/>
      <c r="L88" s="23" t="s">
        <v>33</v>
      </c>
    </row>
    <row r="89" spans="1:12" x14ac:dyDescent="0.25">
      <c r="A89" s="66"/>
      <c r="B89" s="143" t="s">
        <v>750</v>
      </c>
      <c r="C89" s="144"/>
      <c r="D89" s="158"/>
      <c r="E89" s="43">
        <v>959.09</v>
      </c>
      <c r="F89" s="159"/>
      <c r="G89" s="160"/>
      <c r="H89" s="160"/>
      <c r="I89" s="160"/>
      <c r="J89" s="160"/>
      <c r="K89" s="161"/>
      <c r="L89" s="23" t="s">
        <v>33</v>
      </c>
    </row>
    <row r="90" spans="1:12" x14ac:dyDescent="0.25">
      <c r="A90" s="66"/>
      <c r="B90" s="143" t="s">
        <v>751</v>
      </c>
      <c r="C90" s="144"/>
      <c r="D90" s="158"/>
      <c r="E90" s="43">
        <v>1554.25</v>
      </c>
      <c r="F90" s="159"/>
      <c r="G90" s="160"/>
      <c r="H90" s="160"/>
      <c r="I90" s="160"/>
      <c r="J90" s="160"/>
      <c r="K90" s="161"/>
      <c r="L90" s="23" t="s">
        <v>33</v>
      </c>
    </row>
    <row r="91" spans="1:12" x14ac:dyDescent="0.25">
      <c r="A91" s="66"/>
      <c r="B91" s="143" t="s">
        <v>654</v>
      </c>
      <c r="C91" s="144"/>
      <c r="D91" s="158"/>
      <c r="E91" s="43">
        <v>2258.52</v>
      </c>
      <c r="F91" s="159"/>
      <c r="G91" s="160"/>
      <c r="H91" s="160"/>
      <c r="I91" s="160"/>
      <c r="J91" s="160"/>
      <c r="K91" s="161"/>
      <c r="L91" s="23" t="s">
        <v>33</v>
      </c>
    </row>
    <row r="92" spans="1:12" x14ac:dyDescent="0.25">
      <c r="A92" s="66"/>
      <c r="B92" s="143" t="s">
        <v>748</v>
      </c>
      <c r="C92" s="144"/>
      <c r="D92" s="158"/>
      <c r="E92" s="43">
        <v>354.7</v>
      </c>
      <c r="F92" s="159"/>
      <c r="G92" s="160"/>
      <c r="H92" s="160"/>
      <c r="I92" s="160"/>
      <c r="J92" s="160"/>
      <c r="K92" s="161"/>
      <c r="L92" s="23" t="s">
        <v>33</v>
      </c>
    </row>
    <row r="93" spans="1:12" x14ac:dyDescent="0.25">
      <c r="A93" s="66"/>
      <c r="B93" s="143" t="s">
        <v>752</v>
      </c>
      <c r="C93" s="144"/>
      <c r="D93" s="158"/>
      <c r="E93" s="43">
        <v>626.33000000000004</v>
      </c>
      <c r="F93" s="159"/>
      <c r="G93" s="160"/>
      <c r="H93" s="160"/>
      <c r="I93" s="160"/>
      <c r="J93" s="160"/>
      <c r="K93" s="161"/>
      <c r="L93" s="23" t="s">
        <v>33</v>
      </c>
    </row>
    <row r="94" spans="1:12" x14ac:dyDescent="0.25">
      <c r="A94" s="66"/>
      <c r="B94" s="143" t="s">
        <v>654</v>
      </c>
      <c r="C94" s="144"/>
      <c r="D94" s="158"/>
      <c r="E94" s="43">
        <v>2386.7199999999998</v>
      </c>
      <c r="F94" s="159"/>
      <c r="G94" s="160"/>
      <c r="H94" s="160"/>
      <c r="I94" s="160"/>
      <c r="J94" s="160"/>
      <c r="K94" s="161"/>
      <c r="L94" s="23" t="s">
        <v>33</v>
      </c>
    </row>
    <row r="95" spans="1:12" x14ac:dyDescent="0.25">
      <c r="A95" s="66"/>
      <c r="B95" s="143" t="s">
        <v>753</v>
      </c>
      <c r="C95" s="144"/>
      <c r="D95" s="158"/>
      <c r="E95" s="43">
        <v>310.91000000000003</v>
      </c>
      <c r="F95" s="159"/>
      <c r="G95" s="160"/>
      <c r="H95" s="160"/>
      <c r="I95" s="160"/>
      <c r="J95" s="160"/>
      <c r="K95" s="161"/>
      <c r="L95" s="23" t="s">
        <v>33</v>
      </c>
    </row>
    <row r="96" spans="1:12" x14ac:dyDescent="0.25">
      <c r="A96" s="66"/>
      <c r="B96" s="143" t="s">
        <v>754</v>
      </c>
      <c r="C96" s="144"/>
      <c r="D96" s="158"/>
      <c r="E96" s="43">
        <v>399.44</v>
      </c>
      <c r="F96" s="159"/>
      <c r="G96" s="160"/>
      <c r="H96" s="160"/>
      <c r="I96" s="160"/>
      <c r="J96" s="160"/>
      <c r="K96" s="161"/>
      <c r="L96" s="23" t="s">
        <v>33</v>
      </c>
    </row>
    <row r="97" spans="1:12" x14ac:dyDescent="0.25">
      <c r="A97" s="66"/>
      <c r="B97" s="143" t="s">
        <v>738</v>
      </c>
      <c r="C97" s="144"/>
      <c r="D97" s="158"/>
      <c r="E97" s="43">
        <v>1275.07</v>
      </c>
      <c r="F97" s="159"/>
      <c r="G97" s="160"/>
      <c r="H97" s="160"/>
      <c r="I97" s="160"/>
      <c r="J97" s="160"/>
      <c r="K97" s="161"/>
      <c r="L97" s="23" t="s">
        <v>33</v>
      </c>
    </row>
    <row r="98" spans="1:12" x14ac:dyDescent="0.25">
      <c r="A98" s="66"/>
      <c r="B98" s="143" t="s">
        <v>746</v>
      </c>
      <c r="C98" s="144"/>
      <c r="D98" s="158"/>
      <c r="E98" s="43">
        <v>491.6</v>
      </c>
      <c r="F98" s="159"/>
      <c r="G98" s="160"/>
      <c r="H98" s="160"/>
      <c r="I98" s="160"/>
      <c r="J98" s="160"/>
      <c r="K98" s="161"/>
      <c r="L98" s="23" t="s">
        <v>33</v>
      </c>
    </row>
    <row r="99" spans="1:12" x14ac:dyDescent="0.25">
      <c r="A99" s="66"/>
      <c r="B99" s="143" t="s">
        <v>729</v>
      </c>
      <c r="C99" s="144"/>
      <c r="D99" s="158"/>
      <c r="E99" s="43">
        <v>759.9</v>
      </c>
      <c r="F99" s="159"/>
      <c r="G99" s="160"/>
      <c r="H99" s="160"/>
      <c r="I99" s="160"/>
      <c r="J99" s="160"/>
      <c r="K99" s="161"/>
      <c r="L99" s="23" t="s">
        <v>33</v>
      </c>
    </row>
    <row r="100" spans="1:12" x14ac:dyDescent="0.25">
      <c r="A100" s="66"/>
      <c r="B100" s="143" t="s">
        <v>278</v>
      </c>
      <c r="C100" s="144"/>
      <c r="D100" s="158"/>
      <c r="E100" s="43">
        <v>1206.9100000000001</v>
      </c>
      <c r="F100" s="159"/>
      <c r="G100" s="160"/>
      <c r="H100" s="160"/>
      <c r="I100" s="160"/>
      <c r="J100" s="160"/>
      <c r="K100" s="161"/>
      <c r="L100" s="23" t="s">
        <v>33</v>
      </c>
    </row>
    <row r="101" spans="1:12" x14ac:dyDescent="0.25">
      <c r="A101" s="66"/>
      <c r="B101" s="143" t="s">
        <v>755</v>
      </c>
      <c r="C101" s="144"/>
      <c r="D101" s="158"/>
      <c r="E101" s="43">
        <v>3876.56</v>
      </c>
      <c r="F101" s="159"/>
      <c r="G101" s="160"/>
      <c r="H101" s="160"/>
      <c r="I101" s="160"/>
      <c r="J101" s="160"/>
      <c r="K101" s="161"/>
      <c r="L101" s="23" t="s">
        <v>33</v>
      </c>
    </row>
    <row r="102" spans="1:12" x14ac:dyDescent="0.25">
      <c r="A102" s="66"/>
      <c r="B102" s="143" t="s">
        <v>756</v>
      </c>
      <c r="C102" s="144"/>
      <c r="D102" s="158"/>
      <c r="E102" s="43">
        <v>2274.52</v>
      </c>
      <c r="F102" s="159"/>
      <c r="G102" s="160"/>
      <c r="H102" s="160"/>
      <c r="I102" s="160"/>
      <c r="J102" s="160"/>
      <c r="K102" s="161"/>
      <c r="L102" s="23" t="s">
        <v>33</v>
      </c>
    </row>
    <row r="103" spans="1:12" x14ac:dyDescent="0.25">
      <c r="A103" s="66"/>
      <c r="B103" s="143" t="s">
        <v>757</v>
      </c>
      <c r="C103" s="144"/>
      <c r="D103" s="158"/>
      <c r="E103" s="43">
        <v>1099.3599999999999</v>
      </c>
      <c r="F103" s="159"/>
      <c r="G103" s="160"/>
      <c r="H103" s="160"/>
      <c r="I103" s="160"/>
      <c r="J103" s="160"/>
      <c r="K103" s="161"/>
      <c r="L103" s="23" t="s">
        <v>33</v>
      </c>
    </row>
    <row r="104" spans="1:12" x14ac:dyDescent="0.25">
      <c r="A104" s="66"/>
      <c r="B104" s="143" t="s">
        <v>419</v>
      </c>
      <c r="C104" s="144"/>
      <c r="D104" s="158"/>
      <c r="E104" s="43">
        <v>5045.7700000000004</v>
      </c>
      <c r="F104" s="159"/>
      <c r="G104" s="160"/>
      <c r="H104" s="160"/>
      <c r="I104" s="160"/>
      <c r="J104" s="160"/>
      <c r="K104" s="161"/>
      <c r="L104" s="23" t="s">
        <v>33</v>
      </c>
    </row>
    <row r="105" spans="1:12" x14ac:dyDescent="0.25">
      <c r="A105" s="66"/>
      <c r="B105" s="143" t="s">
        <v>654</v>
      </c>
      <c r="C105" s="144"/>
      <c r="D105" s="158"/>
      <c r="E105" s="43">
        <v>786.75</v>
      </c>
      <c r="F105" s="159"/>
      <c r="G105" s="160"/>
      <c r="H105" s="160"/>
      <c r="I105" s="160"/>
      <c r="J105" s="160"/>
      <c r="K105" s="161"/>
      <c r="L105" s="23" t="s">
        <v>33</v>
      </c>
    </row>
    <row r="106" spans="1:12" x14ac:dyDescent="0.25">
      <c r="A106" s="66"/>
      <c r="B106" s="143" t="s">
        <v>736</v>
      </c>
      <c r="C106" s="144"/>
      <c r="D106" s="158"/>
      <c r="E106" s="43">
        <v>315.87</v>
      </c>
      <c r="F106" s="159"/>
      <c r="G106" s="160"/>
      <c r="H106" s="160"/>
      <c r="I106" s="160"/>
      <c r="J106" s="160"/>
      <c r="K106" s="161"/>
      <c r="L106" s="23" t="s">
        <v>33</v>
      </c>
    </row>
    <row r="107" spans="1:12" x14ac:dyDescent="0.25">
      <c r="A107" s="66"/>
      <c r="B107" s="143" t="s">
        <v>758</v>
      </c>
      <c r="C107" s="144"/>
      <c r="D107" s="158"/>
      <c r="E107" s="43">
        <v>5508.05</v>
      </c>
      <c r="F107" s="159"/>
      <c r="G107" s="160"/>
      <c r="H107" s="160"/>
      <c r="I107" s="160"/>
      <c r="J107" s="160"/>
      <c r="K107" s="161"/>
      <c r="L107" s="23" t="s">
        <v>33</v>
      </c>
    </row>
    <row r="108" spans="1:12" x14ac:dyDescent="0.25">
      <c r="A108" s="66"/>
      <c r="B108" s="143" t="s">
        <v>759</v>
      </c>
      <c r="C108" s="144"/>
      <c r="D108" s="158"/>
      <c r="E108" s="43">
        <v>893.32</v>
      </c>
      <c r="F108" s="159"/>
      <c r="G108" s="160"/>
      <c r="H108" s="160"/>
      <c r="I108" s="160"/>
      <c r="J108" s="160"/>
      <c r="K108" s="161"/>
      <c r="L108" s="23" t="s">
        <v>33</v>
      </c>
    </row>
    <row r="109" spans="1:12" x14ac:dyDescent="0.25">
      <c r="A109" s="66"/>
      <c r="B109" s="143" t="s">
        <v>760</v>
      </c>
      <c r="C109" s="144"/>
      <c r="D109" s="158"/>
      <c r="E109" s="43">
        <v>2142.39</v>
      </c>
      <c r="F109" s="159"/>
      <c r="G109" s="160"/>
      <c r="H109" s="160"/>
      <c r="I109" s="160"/>
      <c r="J109" s="160"/>
      <c r="K109" s="161"/>
      <c r="L109" s="23" t="s">
        <v>33</v>
      </c>
    </row>
    <row r="110" spans="1:12" x14ac:dyDescent="0.25">
      <c r="A110" s="66"/>
      <c r="B110" s="143" t="s">
        <v>739</v>
      </c>
      <c r="C110" s="144"/>
      <c r="D110" s="158"/>
      <c r="E110" s="43">
        <v>1460.58</v>
      </c>
      <c r="F110" s="159"/>
      <c r="G110" s="160"/>
      <c r="H110" s="160"/>
      <c r="I110" s="160"/>
      <c r="J110" s="160"/>
      <c r="K110" s="161"/>
      <c r="L110" s="23" t="s">
        <v>33</v>
      </c>
    </row>
    <row r="111" spans="1:12" x14ac:dyDescent="0.25">
      <c r="A111" s="66"/>
      <c r="B111" s="143" t="s">
        <v>761</v>
      </c>
      <c r="C111" s="144"/>
      <c r="D111" s="158"/>
      <c r="E111" s="43">
        <v>788.99</v>
      </c>
      <c r="F111" s="159"/>
      <c r="G111" s="160"/>
      <c r="H111" s="160"/>
      <c r="I111" s="160"/>
      <c r="J111" s="160"/>
      <c r="K111" s="161"/>
      <c r="L111" s="23" t="s">
        <v>33</v>
      </c>
    </row>
    <row r="112" spans="1:12" x14ac:dyDescent="0.25">
      <c r="A112" s="66"/>
      <c r="B112" s="143" t="s">
        <v>762</v>
      </c>
      <c r="C112" s="144"/>
      <c r="D112" s="158"/>
      <c r="E112" s="43">
        <v>336</v>
      </c>
      <c r="F112" s="159"/>
      <c r="G112" s="160"/>
      <c r="H112" s="160"/>
      <c r="I112" s="160"/>
      <c r="J112" s="160"/>
      <c r="K112" s="161"/>
      <c r="L112" s="23" t="s">
        <v>33</v>
      </c>
    </row>
    <row r="113" spans="1:12" x14ac:dyDescent="0.25">
      <c r="A113" s="66"/>
      <c r="B113" s="143" t="s">
        <v>763</v>
      </c>
      <c r="C113" s="144"/>
      <c r="D113" s="158"/>
      <c r="E113" s="43">
        <v>419.32</v>
      </c>
      <c r="F113" s="159"/>
      <c r="G113" s="160"/>
      <c r="H113" s="160"/>
      <c r="I113" s="160"/>
      <c r="J113" s="160"/>
      <c r="K113" s="161"/>
      <c r="L113" s="23" t="s">
        <v>33</v>
      </c>
    </row>
    <row r="114" spans="1:12" x14ac:dyDescent="0.25">
      <c r="A114" s="66"/>
      <c r="B114" s="143" t="s">
        <v>764</v>
      </c>
      <c r="C114" s="144"/>
      <c r="D114" s="158"/>
      <c r="E114" s="43">
        <v>358.07</v>
      </c>
      <c r="F114" s="159"/>
      <c r="G114" s="160"/>
      <c r="H114" s="160"/>
      <c r="I114" s="160"/>
      <c r="J114" s="160"/>
      <c r="K114" s="161"/>
      <c r="L114" s="23" t="s">
        <v>33</v>
      </c>
    </row>
    <row r="115" spans="1:12" x14ac:dyDescent="0.25">
      <c r="A115" s="66"/>
      <c r="B115" s="143" t="s">
        <v>765</v>
      </c>
      <c r="C115" s="144"/>
      <c r="D115" s="158"/>
      <c r="E115" s="43">
        <v>294.02</v>
      </c>
      <c r="F115" s="159"/>
      <c r="G115" s="160"/>
      <c r="H115" s="160"/>
      <c r="I115" s="160"/>
      <c r="J115" s="160"/>
      <c r="K115" s="161"/>
      <c r="L115" s="23" t="s">
        <v>33</v>
      </c>
    </row>
    <row r="116" spans="1:12" x14ac:dyDescent="0.25">
      <c r="A116" s="66"/>
      <c r="B116" s="143" t="s">
        <v>766</v>
      </c>
      <c r="C116" s="144"/>
      <c r="D116" s="158"/>
      <c r="E116" s="43">
        <v>354.18</v>
      </c>
      <c r="F116" s="159"/>
      <c r="G116" s="160"/>
      <c r="H116" s="160"/>
      <c r="I116" s="160"/>
      <c r="J116" s="160"/>
      <c r="K116" s="161"/>
      <c r="L116" s="23" t="s">
        <v>33</v>
      </c>
    </row>
    <row r="117" spans="1:12" x14ac:dyDescent="0.25">
      <c r="A117" s="66"/>
      <c r="B117" s="143" t="s">
        <v>767</v>
      </c>
      <c r="C117" s="144"/>
      <c r="D117" s="158"/>
      <c r="E117" s="43">
        <v>1037.3900000000001</v>
      </c>
      <c r="F117" s="159"/>
      <c r="G117" s="160"/>
      <c r="H117" s="160"/>
      <c r="I117" s="160"/>
      <c r="J117" s="160"/>
      <c r="K117" s="161"/>
      <c r="L117" s="23" t="s">
        <v>33</v>
      </c>
    </row>
    <row r="118" spans="1:12" x14ac:dyDescent="0.25">
      <c r="A118" s="66"/>
      <c r="B118" s="143" t="s">
        <v>768</v>
      </c>
      <c r="C118" s="144"/>
      <c r="D118" s="158"/>
      <c r="E118" s="43">
        <v>155.97</v>
      </c>
      <c r="F118" s="159"/>
      <c r="G118" s="160"/>
      <c r="H118" s="160"/>
      <c r="I118" s="160"/>
      <c r="J118" s="160"/>
      <c r="K118" s="161"/>
      <c r="L118" s="23" t="s">
        <v>33</v>
      </c>
    </row>
    <row r="119" spans="1:12" x14ac:dyDescent="0.25">
      <c r="A119" s="66"/>
      <c r="B119" s="143" t="s">
        <v>769</v>
      </c>
      <c r="C119" s="144"/>
      <c r="D119" s="158"/>
      <c r="E119" s="43">
        <v>11407.52</v>
      </c>
      <c r="F119" s="159"/>
      <c r="G119" s="160"/>
      <c r="H119" s="160"/>
      <c r="I119" s="160"/>
      <c r="J119" s="160"/>
      <c r="K119" s="161"/>
      <c r="L119" s="23" t="s">
        <v>33</v>
      </c>
    </row>
    <row r="120" spans="1:12" x14ac:dyDescent="0.25">
      <c r="A120" s="66"/>
      <c r="B120" s="143" t="s">
        <v>738</v>
      </c>
      <c r="C120" s="144"/>
      <c r="D120" s="158"/>
      <c r="E120" s="43">
        <v>561.63</v>
      </c>
      <c r="F120" s="159"/>
      <c r="G120" s="160"/>
      <c r="H120" s="160"/>
      <c r="I120" s="160"/>
      <c r="J120" s="160"/>
      <c r="K120" s="161"/>
      <c r="L120" s="23" t="s">
        <v>33</v>
      </c>
    </row>
    <row r="121" spans="1:12" x14ac:dyDescent="0.25">
      <c r="A121" s="66"/>
      <c r="B121" s="143" t="s">
        <v>770</v>
      </c>
      <c r="C121" s="144"/>
      <c r="D121" s="158"/>
      <c r="E121" s="43">
        <v>31462</v>
      </c>
      <c r="F121" s="159"/>
      <c r="G121" s="160"/>
      <c r="H121" s="160"/>
      <c r="I121" s="160"/>
      <c r="J121" s="160"/>
      <c r="K121" s="161"/>
      <c r="L121" s="23" t="s">
        <v>33</v>
      </c>
    </row>
    <row r="122" spans="1:12" x14ac:dyDescent="0.25">
      <c r="A122" s="66"/>
      <c r="B122" s="143" t="s">
        <v>751</v>
      </c>
      <c r="C122" s="144"/>
      <c r="D122" s="158"/>
      <c r="E122" s="43">
        <v>2137.92</v>
      </c>
      <c r="F122" s="159"/>
      <c r="G122" s="160"/>
      <c r="H122" s="160"/>
      <c r="I122" s="160"/>
      <c r="J122" s="160"/>
      <c r="K122" s="161"/>
      <c r="L122" s="23" t="s">
        <v>33</v>
      </c>
    </row>
    <row r="123" spans="1:12" x14ac:dyDescent="0.25">
      <c r="A123" s="66"/>
      <c r="B123" s="143" t="s">
        <v>736</v>
      </c>
      <c r="C123" s="144"/>
      <c r="D123" s="158"/>
      <c r="E123" s="43">
        <v>315.87</v>
      </c>
      <c r="F123" s="159"/>
      <c r="G123" s="160"/>
      <c r="H123" s="160"/>
      <c r="I123" s="160"/>
      <c r="J123" s="160"/>
      <c r="K123" s="161"/>
      <c r="L123" s="23" t="s">
        <v>33</v>
      </c>
    </row>
    <row r="124" spans="1:12" x14ac:dyDescent="0.25">
      <c r="A124" s="66"/>
      <c r="B124" s="143" t="s">
        <v>751</v>
      </c>
      <c r="C124" s="144"/>
      <c r="D124" s="158"/>
      <c r="E124" s="43">
        <v>1961.27</v>
      </c>
      <c r="F124" s="159"/>
      <c r="G124" s="160"/>
      <c r="H124" s="160"/>
      <c r="I124" s="160"/>
      <c r="J124" s="160"/>
      <c r="K124" s="161"/>
      <c r="L124" s="23" t="s">
        <v>33</v>
      </c>
    </row>
    <row r="125" spans="1:12" x14ac:dyDescent="0.25">
      <c r="A125" s="66"/>
      <c r="B125" s="143" t="s">
        <v>170</v>
      </c>
      <c r="C125" s="144"/>
      <c r="D125" s="158"/>
      <c r="E125" s="43">
        <v>309.44</v>
      </c>
      <c r="F125" s="159"/>
      <c r="G125" s="160"/>
      <c r="H125" s="160"/>
      <c r="I125" s="160"/>
      <c r="J125" s="160"/>
      <c r="K125" s="161"/>
      <c r="L125" s="23" t="s">
        <v>33</v>
      </c>
    </row>
    <row r="126" spans="1:12" x14ac:dyDescent="0.25">
      <c r="A126" s="66"/>
      <c r="B126" s="143" t="s">
        <v>771</v>
      </c>
      <c r="C126" s="144"/>
      <c r="D126" s="158"/>
      <c r="E126" s="43">
        <v>358.88</v>
      </c>
      <c r="F126" s="159"/>
      <c r="G126" s="160"/>
      <c r="H126" s="160"/>
      <c r="I126" s="160"/>
      <c r="J126" s="160"/>
      <c r="K126" s="161"/>
      <c r="L126" s="23" t="s">
        <v>33</v>
      </c>
    </row>
    <row r="127" spans="1:12" x14ac:dyDescent="0.25">
      <c r="A127" s="66"/>
      <c r="B127" s="143" t="s">
        <v>165</v>
      </c>
      <c r="C127" s="144"/>
      <c r="D127" s="158"/>
      <c r="E127" s="43">
        <v>2752.49</v>
      </c>
      <c r="F127" s="159"/>
      <c r="G127" s="160"/>
      <c r="H127" s="160"/>
      <c r="I127" s="160"/>
      <c r="J127" s="160"/>
      <c r="K127" s="161"/>
      <c r="L127" s="23" t="s">
        <v>33</v>
      </c>
    </row>
    <row r="128" spans="1:12" x14ac:dyDescent="0.25">
      <c r="A128" s="66"/>
      <c r="B128" s="143" t="s">
        <v>772</v>
      </c>
      <c r="C128" s="144"/>
      <c r="D128" s="158"/>
      <c r="E128" s="43">
        <v>392.05</v>
      </c>
      <c r="F128" s="159"/>
      <c r="G128" s="160"/>
      <c r="H128" s="160"/>
      <c r="I128" s="160"/>
      <c r="J128" s="160"/>
      <c r="K128" s="161"/>
      <c r="L128" s="23" t="s">
        <v>33</v>
      </c>
    </row>
    <row r="129" spans="1:12" x14ac:dyDescent="0.25">
      <c r="A129" s="66"/>
      <c r="B129" s="143" t="s">
        <v>746</v>
      </c>
      <c r="C129" s="144"/>
      <c r="D129" s="158"/>
      <c r="E129" s="43">
        <v>341.79</v>
      </c>
      <c r="F129" s="159"/>
      <c r="G129" s="160"/>
      <c r="H129" s="160"/>
      <c r="I129" s="160"/>
      <c r="J129" s="160"/>
      <c r="K129" s="161"/>
      <c r="L129" s="23" t="s">
        <v>33</v>
      </c>
    </row>
    <row r="130" spans="1:12" x14ac:dyDescent="0.25">
      <c r="A130" s="66"/>
      <c r="B130" s="143" t="s">
        <v>651</v>
      </c>
      <c r="C130" s="144"/>
      <c r="D130" s="158"/>
      <c r="E130" s="43">
        <v>2353.09</v>
      </c>
      <c r="F130" s="159"/>
      <c r="G130" s="160"/>
      <c r="H130" s="160"/>
      <c r="I130" s="160"/>
      <c r="J130" s="160"/>
      <c r="K130" s="161"/>
      <c r="L130" s="23" t="s">
        <v>33</v>
      </c>
    </row>
    <row r="131" spans="1:12" x14ac:dyDescent="0.25">
      <c r="A131" s="66"/>
      <c r="B131" s="143" t="s">
        <v>773</v>
      </c>
      <c r="C131" s="144"/>
      <c r="D131" s="158"/>
      <c r="E131" s="43">
        <v>413.76</v>
      </c>
      <c r="F131" s="159"/>
      <c r="G131" s="160"/>
      <c r="H131" s="160"/>
      <c r="I131" s="160"/>
      <c r="J131" s="160"/>
      <c r="K131" s="161"/>
      <c r="L131" s="23" t="s">
        <v>33</v>
      </c>
    </row>
    <row r="132" spans="1:12" x14ac:dyDescent="0.25">
      <c r="A132" s="66"/>
      <c r="B132" s="143" t="s">
        <v>774</v>
      </c>
      <c r="C132" s="144"/>
      <c r="D132" s="158"/>
      <c r="E132" s="43">
        <v>6303.41</v>
      </c>
      <c r="F132" s="159"/>
      <c r="G132" s="160"/>
      <c r="H132" s="160"/>
      <c r="I132" s="160"/>
      <c r="J132" s="160"/>
      <c r="K132" s="161"/>
      <c r="L132" s="23" t="s">
        <v>33</v>
      </c>
    </row>
    <row r="133" spans="1:12" x14ac:dyDescent="0.25">
      <c r="A133" s="66"/>
      <c r="B133" s="143" t="s">
        <v>775</v>
      </c>
      <c r="C133" s="144"/>
      <c r="D133" s="158"/>
      <c r="E133" s="43">
        <v>1484.14</v>
      </c>
      <c r="F133" s="159"/>
      <c r="G133" s="160"/>
      <c r="H133" s="160"/>
      <c r="I133" s="160"/>
      <c r="J133" s="160"/>
      <c r="K133" s="161"/>
      <c r="L133" s="23" t="s">
        <v>33</v>
      </c>
    </row>
    <row r="134" spans="1:12" x14ac:dyDescent="0.25">
      <c r="A134" s="66"/>
      <c r="B134" s="143" t="s">
        <v>776</v>
      </c>
      <c r="C134" s="144"/>
      <c r="D134" s="158"/>
      <c r="E134" s="43">
        <v>10284.83</v>
      </c>
      <c r="F134" s="159"/>
      <c r="G134" s="160"/>
      <c r="H134" s="160"/>
      <c r="I134" s="160"/>
      <c r="J134" s="160"/>
      <c r="K134" s="161"/>
      <c r="L134" s="23" t="s">
        <v>33</v>
      </c>
    </row>
    <row r="135" spans="1:12" x14ac:dyDescent="0.25">
      <c r="A135" s="66"/>
      <c r="B135" s="143" t="s">
        <v>777</v>
      </c>
      <c r="C135" s="144"/>
      <c r="D135" s="158"/>
      <c r="E135" s="43">
        <v>974.61</v>
      </c>
      <c r="F135" s="159"/>
      <c r="G135" s="160"/>
      <c r="H135" s="160"/>
      <c r="I135" s="160"/>
      <c r="J135" s="160"/>
      <c r="K135" s="161"/>
      <c r="L135" s="23" t="s">
        <v>33</v>
      </c>
    </row>
    <row r="136" spans="1:12" x14ac:dyDescent="0.25">
      <c r="A136" s="66"/>
      <c r="B136" s="143" t="s">
        <v>699</v>
      </c>
      <c r="C136" s="144"/>
      <c r="D136" s="158"/>
      <c r="E136" s="43">
        <v>2261.0500000000002</v>
      </c>
      <c r="F136" s="159"/>
      <c r="G136" s="160"/>
      <c r="H136" s="160"/>
      <c r="I136" s="160"/>
      <c r="J136" s="160"/>
      <c r="K136" s="161"/>
      <c r="L136" s="23" t="s">
        <v>33</v>
      </c>
    </row>
    <row r="137" spans="1:12" x14ac:dyDescent="0.25">
      <c r="A137" s="66"/>
      <c r="B137" s="143" t="s">
        <v>778</v>
      </c>
      <c r="C137" s="144"/>
      <c r="D137" s="158"/>
      <c r="E137" s="43">
        <v>2348.6999999999998</v>
      </c>
      <c r="F137" s="159"/>
      <c r="G137" s="160"/>
      <c r="H137" s="160"/>
      <c r="I137" s="160"/>
      <c r="J137" s="160"/>
      <c r="K137" s="161"/>
      <c r="L137" s="23" t="s">
        <v>33</v>
      </c>
    </row>
    <row r="138" spans="1:12" x14ac:dyDescent="0.25">
      <c r="A138" s="66"/>
      <c r="B138" s="143" t="s">
        <v>779</v>
      </c>
      <c r="C138" s="144"/>
      <c r="D138" s="158"/>
      <c r="E138" s="43">
        <v>418.73</v>
      </c>
      <c r="F138" s="159"/>
      <c r="G138" s="160"/>
      <c r="H138" s="160"/>
      <c r="I138" s="160"/>
      <c r="J138" s="160"/>
      <c r="K138" s="161"/>
      <c r="L138" s="23" t="s">
        <v>33</v>
      </c>
    </row>
    <row r="139" spans="1:12" x14ac:dyDescent="0.25">
      <c r="A139" s="66"/>
      <c r="B139" s="143" t="s">
        <v>746</v>
      </c>
      <c r="C139" s="144"/>
      <c r="D139" s="158"/>
      <c r="E139" s="43">
        <v>449.62</v>
      </c>
      <c r="F139" s="159"/>
      <c r="G139" s="160"/>
      <c r="H139" s="160"/>
      <c r="I139" s="160"/>
      <c r="J139" s="160"/>
      <c r="K139" s="161"/>
      <c r="L139" s="23" t="s">
        <v>33</v>
      </c>
    </row>
    <row r="140" spans="1:12" x14ac:dyDescent="0.25">
      <c r="A140" s="66"/>
      <c r="B140" s="143" t="s">
        <v>780</v>
      </c>
      <c r="C140" s="144"/>
      <c r="D140" s="158"/>
      <c r="E140" s="43">
        <v>1921.32</v>
      </c>
      <c r="F140" s="159"/>
      <c r="G140" s="160"/>
      <c r="H140" s="160"/>
      <c r="I140" s="160"/>
      <c r="J140" s="160"/>
      <c r="K140" s="161"/>
      <c r="L140" s="23" t="s">
        <v>33</v>
      </c>
    </row>
    <row r="141" spans="1:12" x14ac:dyDescent="0.25">
      <c r="A141" s="66"/>
      <c r="B141" s="143" t="s">
        <v>781</v>
      </c>
      <c r="C141" s="144"/>
      <c r="D141" s="158"/>
      <c r="E141" s="43">
        <v>1030.79</v>
      </c>
      <c r="F141" s="159"/>
      <c r="G141" s="160"/>
      <c r="H141" s="160"/>
      <c r="I141" s="160"/>
      <c r="J141" s="160"/>
      <c r="K141" s="161"/>
      <c r="L141" s="23" t="s">
        <v>33</v>
      </c>
    </row>
    <row r="142" spans="1:12" x14ac:dyDescent="0.25">
      <c r="A142" s="66"/>
      <c r="B142" s="143" t="s">
        <v>782</v>
      </c>
      <c r="C142" s="144"/>
      <c r="D142" s="158"/>
      <c r="E142" s="43">
        <v>297.95999999999998</v>
      </c>
      <c r="F142" s="159"/>
      <c r="G142" s="160"/>
      <c r="H142" s="160"/>
      <c r="I142" s="160"/>
      <c r="J142" s="160"/>
      <c r="K142" s="161"/>
      <c r="L142" s="23" t="s">
        <v>33</v>
      </c>
    </row>
    <row r="143" spans="1:12" x14ac:dyDescent="0.25">
      <c r="A143" s="66"/>
      <c r="B143" s="143" t="s">
        <v>778</v>
      </c>
      <c r="C143" s="144"/>
      <c r="D143" s="158"/>
      <c r="E143" s="43">
        <v>210</v>
      </c>
      <c r="F143" s="159"/>
      <c r="G143" s="160"/>
      <c r="H143" s="160"/>
      <c r="I143" s="160"/>
      <c r="J143" s="160"/>
      <c r="K143" s="161"/>
      <c r="L143" s="23" t="s">
        <v>33</v>
      </c>
    </row>
    <row r="144" spans="1:12" x14ac:dyDescent="0.25">
      <c r="A144" s="66"/>
      <c r="B144" s="143" t="s">
        <v>726</v>
      </c>
      <c r="C144" s="144"/>
      <c r="D144" s="158"/>
      <c r="E144" s="43">
        <v>281.83</v>
      </c>
      <c r="F144" s="159"/>
      <c r="G144" s="160"/>
      <c r="H144" s="160"/>
      <c r="I144" s="160"/>
      <c r="J144" s="160"/>
      <c r="K144" s="161"/>
      <c r="L144" s="23" t="s">
        <v>33</v>
      </c>
    </row>
    <row r="145" spans="1:12" x14ac:dyDescent="0.25">
      <c r="A145" s="66"/>
      <c r="B145" s="143" t="s">
        <v>783</v>
      </c>
      <c r="C145" s="144"/>
      <c r="D145" s="158"/>
      <c r="E145" s="43">
        <v>12342.99</v>
      </c>
      <c r="F145" s="159"/>
      <c r="G145" s="160"/>
      <c r="H145" s="160"/>
      <c r="I145" s="160"/>
      <c r="J145" s="160"/>
      <c r="K145" s="161"/>
      <c r="L145" s="23" t="s">
        <v>33</v>
      </c>
    </row>
    <row r="146" spans="1:12" x14ac:dyDescent="0.25">
      <c r="A146" s="66"/>
      <c r="B146" s="143" t="s">
        <v>760</v>
      </c>
      <c r="C146" s="144"/>
      <c r="D146" s="158"/>
      <c r="E146" s="43">
        <v>922.28</v>
      </c>
      <c r="F146" s="159"/>
      <c r="G146" s="160"/>
      <c r="H146" s="160"/>
      <c r="I146" s="160"/>
      <c r="J146" s="160"/>
      <c r="K146" s="161"/>
      <c r="L146" s="23" t="s">
        <v>33</v>
      </c>
    </row>
    <row r="147" spans="1:12" x14ac:dyDescent="0.25">
      <c r="A147" s="66"/>
      <c r="B147" s="143" t="s">
        <v>784</v>
      </c>
      <c r="C147" s="144"/>
      <c r="D147" s="158"/>
      <c r="E147" s="43">
        <v>318.73</v>
      </c>
      <c r="F147" s="159"/>
      <c r="G147" s="160"/>
      <c r="H147" s="160"/>
      <c r="I147" s="160"/>
      <c r="J147" s="160"/>
      <c r="K147" s="161"/>
      <c r="L147" s="23" t="s">
        <v>33</v>
      </c>
    </row>
    <row r="148" spans="1:12" x14ac:dyDescent="0.25">
      <c r="A148" s="66"/>
      <c r="B148" s="143" t="s">
        <v>785</v>
      </c>
      <c r="C148" s="144"/>
      <c r="D148" s="158"/>
      <c r="E148" s="43">
        <v>651.46</v>
      </c>
      <c r="F148" s="159"/>
      <c r="G148" s="160"/>
      <c r="H148" s="160"/>
      <c r="I148" s="160"/>
      <c r="J148" s="160"/>
      <c r="K148" s="161"/>
      <c r="L148" s="23" t="s">
        <v>33</v>
      </c>
    </row>
    <row r="149" spans="1:12" x14ac:dyDescent="0.25">
      <c r="A149" s="66"/>
      <c r="B149" s="143" t="s">
        <v>752</v>
      </c>
      <c r="C149" s="144"/>
      <c r="D149" s="158"/>
      <c r="E149" s="43">
        <v>473.11</v>
      </c>
      <c r="F149" s="159"/>
      <c r="G149" s="160"/>
      <c r="H149" s="160"/>
      <c r="I149" s="160"/>
      <c r="J149" s="160"/>
      <c r="K149" s="161"/>
      <c r="L149" s="23" t="s">
        <v>33</v>
      </c>
    </row>
    <row r="150" spans="1:12" x14ac:dyDescent="0.25">
      <c r="A150" s="66"/>
      <c r="B150" s="143" t="s">
        <v>556</v>
      </c>
      <c r="C150" s="144"/>
      <c r="D150" s="158"/>
      <c r="E150" s="43">
        <v>693.26</v>
      </c>
      <c r="F150" s="159"/>
      <c r="G150" s="160"/>
      <c r="H150" s="160"/>
      <c r="I150" s="160"/>
      <c r="J150" s="160"/>
      <c r="K150" s="161"/>
      <c r="L150" s="23" t="s">
        <v>33</v>
      </c>
    </row>
    <row r="151" spans="1:12" x14ac:dyDescent="0.25">
      <c r="A151" s="66"/>
      <c r="B151" s="143" t="s">
        <v>786</v>
      </c>
      <c r="C151" s="144"/>
      <c r="D151" s="158"/>
      <c r="E151" s="43">
        <v>381.95</v>
      </c>
      <c r="F151" s="159"/>
      <c r="G151" s="160"/>
      <c r="H151" s="160"/>
      <c r="I151" s="160"/>
      <c r="J151" s="160"/>
      <c r="K151" s="161"/>
      <c r="L151" s="23" t="s">
        <v>33</v>
      </c>
    </row>
    <row r="152" spans="1:12" x14ac:dyDescent="0.25">
      <c r="A152" s="66"/>
      <c r="B152" s="143" t="s">
        <v>556</v>
      </c>
      <c r="C152" s="144"/>
      <c r="D152" s="158"/>
      <c r="E152" s="43">
        <v>1003.24</v>
      </c>
      <c r="F152" s="159"/>
      <c r="G152" s="160"/>
      <c r="H152" s="160"/>
      <c r="I152" s="160"/>
      <c r="J152" s="160"/>
      <c r="K152" s="161"/>
      <c r="L152" s="23" t="s">
        <v>33</v>
      </c>
    </row>
    <row r="153" spans="1:12" x14ac:dyDescent="0.25">
      <c r="A153" s="66"/>
      <c r="B153" s="143" t="s">
        <v>787</v>
      </c>
      <c r="C153" s="144"/>
      <c r="D153" s="158"/>
      <c r="E153" s="43">
        <v>303.67</v>
      </c>
      <c r="F153" s="159"/>
      <c r="G153" s="160"/>
      <c r="H153" s="160"/>
      <c r="I153" s="160"/>
      <c r="J153" s="160"/>
      <c r="K153" s="161"/>
      <c r="L153" s="23" t="s">
        <v>33</v>
      </c>
    </row>
    <row r="154" spans="1:12" x14ac:dyDescent="0.25">
      <c r="A154" s="66"/>
      <c r="B154" s="143" t="s">
        <v>788</v>
      </c>
      <c r="C154" s="144"/>
      <c r="D154" s="158"/>
      <c r="E154" s="43">
        <v>411.37</v>
      </c>
      <c r="F154" s="159"/>
      <c r="G154" s="160"/>
      <c r="H154" s="160"/>
      <c r="I154" s="160"/>
      <c r="J154" s="160"/>
      <c r="K154" s="161"/>
      <c r="L154" s="23" t="s">
        <v>33</v>
      </c>
    </row>
    <row r="155" spans="1:12" x14ac:dyDescent="0.25">
      <c r="A155" s="66"/>
      <c r="B155" s="143" t="s">
        <v>789</v>
      </c>
      <c r="C155" s="144"/>
      <c r="D155" s="158"/>
      <c r="E155" s="43">
        <v>1411.17</v>
      </c>
      <c r="F155" s="159"/>
      <c r="G155" s="160"/>
      <c r="H155" s="160"/>
      <c r="I155" s="160"/>
      <c r="J155" s="160"/>
      <c r="K155" s="161"/>
      <c r="L155" s="23" t="s">
        <v>33</v>
      </c>
    </row>
    <row r="156" spans="1:12" x14ac:dyDescent="0.25">
      <c r="A156" s="66"/>
      <c r="B156" s="143" t="s">
        <v>790</v>
      </c>
      <c r="C156" s="144"/>
      <c r="D156" s="158"/>
      <c r="E156" s="43">
        <v>293.02999999999997</v>
      </c>
      <c r="F156" s="159"/>
      <c r="G156" s="160"/>
      <c r="H156" s="160"/>
      <c r="I156" s="160"/>
      <c r="J156" s="160"/>
      <c r="K156" s="161"/>
      <c r="L156" s="23" t="s">
        <v>33</v>
      </c>
    </row>
    <row r="157" spans="1:12" x14ac:dyDescent="0.25">
      <c r="A157" s="66"/>
      <c r="B157" s="143" t="s">
        <v>791</v>
      </c>
      <c r="C157" s="144"/>
      <c r="D157" s="158"/>
      <c r="E157" s="43">
        <v>325.20999999999998</v>
      </c>
      <c r="F157" s="159"/>
      <c r="G157" s="160"/>
      <c r="H157" s="160"/>
      <c r="I157" s="160"/>
      <c r="J157" s="160"/>
      <c r="K157" s="161"/>
      <c r="L157" s="23" t="s">
        <v>33</v>
      </c>
    </row>
    <row r="158" spans="1:12" x14ac:dyDescent="0.25">
      <c r="A158" s="66"/>
      <c r="B158" s="143" t="s">
        <v>792</v>
      </c>
      <c r="C158" s="144"/>
      <c r="D158" s="158"/>
      <c r="E158" s="43">
        <v>762.96</v>
      </c>
      <c r="F158" s="159"/>
      <c r="G158" s="160"/>
      <c r="H158" s="160"/>
      <c r="I158" s="160"/>
      <c r="J158" s="160"/>
      <c r="K158" s="161"/>
      <c r="L158" s="23" t="s">
        <v>33</v>
      </c>
    </row>
    <row r="159" spans="1:12" x14ac:dyDescent="0.25">
      <c r="A159" s="66"/>
      <c r="B159" s="143" t="s">
        <v>793</v>
      </c>
      <c r="C159" s="144"/>
      <c r="D159" s="158"/>
      <c r="E159" s="43">
        <v>7359.01</v>
      </c>
      <c r="F159" s="159"/>
      <c r="G159" s="160"/>
      <c r="H159" s="160"/>
      <c r="I159" s="160"/>
      <c r="J159" s="160"/>
      <c r="K159" s="161"/>
      <c r="L159" s="23" t="s">
        <v>33</v>
      </c>
    </row>
    <row r="160" spans="1:12" x14ac:dyDescent="0.25">
      <c r="A160" s="66"/>
      <c r="B160" s="143" t="s">
        <v>736</v>
      </c>
      <c r="C160" s="144"/>
      <c r="D160" s="158"/>
      <c r="E160" s="43">
        <v>315.87</v>
      </c>
      <c r="F160" s="159"/>
      <c r="G160" s="160"/>
      <c r="H160" s="160"/>
      <c r="I160" s="160"/>
      <c r="J160" s="160"/>
      <c r="K160" s="161"/>
      <c r="L160" s="23" t="s">
        <v>33</v>
      </c>
    </row>
    <row r="161" spans="1:12" x14ac:dyDescent="0.25">
      <c r="A161" s="66"/>
      <c r="B161" s="143" t="s">
        <v>794</v>
      </c>
      <c r="C161" s="144"/>
      <c r="D161" s="158"/>
      <c r="E161" s="43">
        <v>14252.12</v>
      </c>
      <c r="F161" s="159"/>
      <c r="G161" s="160"/>
      <c r="H161" s="160"/>
      <c r="I161" s="160"/>
      <c r="J161" s="160"/>
      <c r="K161" s="161"/>
      <c r="L161" s="23" t="s">
        <v>33</v>
      </c>
    </row>
    <row r="162" spans="1:12" x14ac:dyDescent="0.25">
      <c r="A162" s="66"/>
      <c r="B162" s="143" t="s">
        <v>790</v>
      </c>
      <c r="C162" s="144"/>
      <c r="D162" s="158"/>
      <c r="E162" s="43">
        <v>347.83</v>
      </c>
      <c r="F162" s="159"/>
      <c r="G162" s="160"/>
      <c r="H162" s="160"/>
      <c r="I162" s="160"/>
      <c r="J162" s="160"/>
      <c r="K162" s="161"/>
      <c r="L162" s="23" t="s">
        <v>33</v>
      </c>
    </row>
    <row r="163" spans="1:12" x14ac:dyDescent="0.25">
      <c r="A163" s="66"/>
      <c r="B163" s="143" t="s">
        <v>795</v>
      </c>
      <c r="C163" s="144"/>
      <c r="D163" s="158"/>
      <c r="E163" s="43">
        <v>268.68</v>
      </c>
      <c r="F163" s="159"/>
      <c r="G163" s="160"/>
      <c r="H163" s="160"/>
      <c r="I163" s="160"/>
      <c r="J163" s="160"/>
      <c r="K163" s="161"/>
      <c r="L163" s="23" t="s">
        <v>33</v>
      </c>
    </row>
    <row r="164" spans="1:12" x14ac:dyDescent="0.25">
      <c r="A164" s="66"/>
      <c r="B164" s="143" t="s">
        <v>764</v>
      </c>
      <c r="C164" s="144"/>
      <c r="D164" s="158"/>
      <c r="E164" s="43">
        <v>388.02</v>
      </c>
      <c r="F164" s="159"/>
      <c r="G164" s="160"/>
      <c r="H164" s="160"/>
      <c r="I164" s="160"/>
      <c r="J164" s="160"/>
      <c r="K164" s="161"/>
      <c r="L164" s="23" t="s">
        <v>33</v>
      </c>
    </row>
    <row r="165" spans="1:12" x14ac:dyDescent="0.25">
      <c r="A165" s="66"/>
      <c r="B165" s="143" t="s">
        <v>734</v>
      </c>
      <c r="C165" s="144"/>
      <c r="D165" s="158"/>
      <c r="E165" s="43">
        <v>305.60000000000002</v>
      </c>
      <c r="F165" s="159"/>
      <c r="G165" s="160"/>
      <c r="H165" s="160"/>
      <c r="I165" s="160"/>
      <c r="J165" s="160"/>
      <c r="K165" s="161"/>
      <c r="L165" s="23" t="s">
        <v>33</v>
      </c>
    </row>
    <row r="166" spans="1:12" x14ac:dyDescent="0.25">
      <c r="A166" s="66"/>
      <c r="B166" s="143" t="s">
        <v>749</v>
      </c>
      <c r="C166" s="144"/>
      <c r="D166" s="158"/>
      <c r="E166" s="43">
        <v>723.42</v>
      </c>
      <c r="F166" s="159"/>
      <c r="G166" s="160"/>
      <c r="H166" s="160"/>
      <c r="I166" s="160"/>
      <c r="J166" s="160"/>
      <c r="K166" s="161"/>
      <c r="L166" s="23" t="s">
        <v>33</v>
      </c>
    </row>
    <row r="167" spans="1:12" x14ac:dyDescent="0.25">
      <c r="A167" s="66"/>
      <c r="B167" s="143" t="s">
        <v>796</v>
      </c>
      <c r="C167" s="144"/>
      <c r="D167" s="158"/>
      <c r="E167" s="43">
        <v>14225</v>
      </c>
      <c r="F167" s="159"/>
      <c r="G167" s="160"/>
      <c r="H167" s="160"/>
      <c r="I167" s="160"/>
      <c r="J167" s="160"/>
      <c r="K167" s="161"/>
      <c r="L167" s="23" t="s">
        <v>33</v>
      </c>
    </row>
    <row r="168" spans="1:12" x14ac:dyDescent="0.25">
      <c r="A168" s="66"/>
      <c r="B168" s="143" t="s">
        <v>797</v>
      </c>
      <c r="C168" s="144"/>
      <c r="D168" s="158"/>
      <c r="E168" s="43">
        <v>2216.48</v>
      </c>
      <c r="F168" s="159"/>
      <c r="G168" s="160"/>
      <c r="H168" s="160"/>
      <c r="I168" s="160"/>
      <c r="J168" s="160"/>
      <c r="K168" s="161"/>
      <c r="L168" s="23" t="s">
        <v>33</v>
      </c>
    </row>
    <row r="169" spans="1:12" x14ac:dyDescent="0.25">
      <c r="A169" s="66"/>
      <c r="B169" s="143" t="s">
        <v>654</v>
      </c>
      <c r="C169" s="144"/>
      <c r="D169" s="158"/>
      <c r="E169" s="43">
        <v>2627.15</v>
      </c>
      <c r="F169" s="159"/>
      <c r="G169" s="160"/>
      <c r="H169" s="160"/>
      <c r="I169" s="160"/>
      <c r="J169" s="160"/>
      <c r="K169" s="161"/>
      <c r="L169" s="23" t="s">
        <v>33</v>
      </c>
    </row>
    <row r="170" spans="1:12" x14ac:dyDescent="0.25">
      <c r="A170" s="66"/>
      <c r="B170" s="143" t="s">
        <v>798</v>
      </c>
      <c r="C170" s="144"/>
      <c r="D170" s="158"/>
      <c r="E170" s="43">
        <v>435.93</v>
      </c>
      <c r="F170" s="159"/>
      <c r="G170" s="160"/>
      <c r="H170" s="160"/>
      <c r="I170" s="160"/>
      <c r="J170" s="160"/>
      <c r="K170" s="161"/>
      <c r="L170" s="23" t="s">
        <v>33</v>
      </c>
    </row>
    <row r="171" spans="1:12" x14ac:dyDescent="0.25">
      <c r="A171" s="66"/>
      <c r="B171" s="143" t="s">
        <v>798</v>
      </c>
      <c r="C171" s="144"/>
      <c r="D171" s="158"/>
      <c r="E171" s="43">
        <v>440.23</v>
      </c>
      <c r="F171" s="159"/>
      <c r="G171" s="160"/>
      <c r="H171" s="160"/>
      <c r="I171" s="160"/>
      <c r="J171" s="160"/>
      <c r="K171" s="161"/>
      <c r="L171" s="23" t="s">
        <v>33</v>
      </c>
    </row>
    <row r="172" spans="1:12" x14ac:dyDescent="0.25">
      <c r="A172" s="66"/>
      <c r="B172" s="143" t="s">
        <v>732</v>
      </c>
      <c r="C172" s="144"/>
      <c r="D172" s="158"/>
      <c r="E172" s="43">
        <v>537.86</v>
      </c>
      <c r="F172" s="159"/>
      <c r="G172" s="160"/>
      <c r="H172" s="160"/>
      <c r="I172" s="160"/>
      <c r="J172" s="160"/>
      <c r="K172" s="161"/>
      <c r="L172" s="23" t="s">
        <v>33</v>
      </c>
    </row>
    <row r="173" spans="1:12" x14ac:dyDescent="0.25">
      <c r="A173" s="66"/>
      <c r="B173" s="143" t="s">
        <v>799</v>
      </c>
      <c r="C173" s="144"/>
      <c r="D173" s="158"/>
      <c r="E173" s="43">
        <v>1362</v>
      </c>
      <c r="F173" s="159"/>
      <c r="G173" s="160"/>
      <c r="H173" s="160"/>
      <c r="I173" s="160"/>
      <c r="J173" s="160"/>
      <c r="K173" s="161"/>
      <c r="L173" s="23" t="s">
        <v>33</v>
      </c>
    </row>
    <row r="174" spans="1:12" x14ac:dyDescent="0.25">
      <c r="A174" s="66"/>
      <c r="B174" s="143" t="s">
        <v>800</v>
      </c>
      <c r="C174" s="144"/>
      <c r="D174" s="158"/>
      <c r="E174" s="43">
        <v>766.57</v>
      </c>
      <c r="F174" s="159"/>
      <c r="G174" s="160"/>
      <c r="H174" s="160"/>
      <c r="I174" s="160"/>
      <c r="J174" s="160"/>
      <c r="K174" s="161"/>
      <c r="L174" s="23" t="s">
        <v>33</v>
      </c>
    </row>
    <row r="175" spans="1:12" x14ac:dyDescent="0.25">
      <c r="A175" s="66"/>
      <c r="B175" s="143" t="s">
        <v>726</v>
      </c>
      <c r="C175" s="144"/>
      <c r="D175" s="158"/>
      <c r="E175" s="43">
        <v>754.2</v>
      </c>
      <c r="F175" s="159"/>
      <c r="G175" s="160"/>
      <c r="H175" s="160"/>
      <c r="I175" s="160"/>
      <c r="J175" s="160"/>
      <c r="K175" s="161"/>
      <c r="L175" s="23" t="s">
        <v>33</v>
      </c>
    </row>
    <row r="176" spans="1:12" x14ac:dyDescent="0.25">
      <c r="A176" s="66"/>
      <c r="B176" s="143" t="s">
        <v>801</v>
      </c>
      <c r="C176" s="144"/>
      <c r="D176" s="158"/>
      <c r="E176" s="43">
        <v>631.57000000000005</v>
      </c>
      <c r="F176" s="159"/>
      <c r="G176" s="160"/>
      <c r="H176" s="160"/>
      <c r="I176" s="160"/>
      <c r="J176" s="160"/>
      <c r="K176" s="161"/>
      <c r="L176" s="23" t="s">
        <v>33</v>
      </c>
    </row>
    <row r="177" spans="1:12" x14ac:dyDescent="0.25">
      <c r="A177" s="66"/>
      <c r="B177" s="143" t="s">
        <v>802</v>
      </c>
      <c r="C177" s="144"/>
      <c r="D177" s="158"/>
      <c r="E177" s="43">
        <v>366.56</v>
      </c>
      <c r="F177" s="159"/>
      <c r="G177" s="160"/>
      <c r="H177" s="160"/>
      <c r="I177" s="160"/>
      <c r="J177" s="160"/>
      <c r="K177" s="161"/>
      <c r="L177" s="23" t="s">
        <v>33</v>
      </c>
    </row>
    <row r="178" spans="1:12" x14ac:dyDescent="0.25">
      <c r="A178" s="66"/>
      <c r="B178" s="143" t="s">
        <v>736</v>
      </c>
      <c r="C178" s="144"/>
      <c r="D178" s="158"/>
      <c r="E178" s="43">
        <v>469.71</v>
      </c>
      <c r="F178" s="159"/>
      <c r="G178" s="160"/>
      <c r="H178" s="160"/>
      <c r="I178" s="160"/>
      <c r="J178" s="160"/>
      <c r="K178" s="161"/>
      <c r="L178" s="23" t="s">
        <v>33</v>
      </c>
    </row>
    <row r="179" spans="1:12" x14ac:dyDescent="0.25">
      <c r="A179" s="66"/>
      <c r="B179" s="143" t="s">
        <v>746</v>
      </c>
      <c r="C179" s="144"/>
      <c r="D179" s="158"/>
      <c r="E179" s="43">
        <v>431.59</v>
      </c>
      <c r="F179" s="159"/>
      <c r="G179" s="160"/>
      <c r="H179" s="160"/>
      <c r="I179" s="160"/>
      <c r="J179" s="160"/>
      <c r="K179" s="161"/>
      <c r="L179" s="23" t="s">
        <v>33</v>
      </c>
    </row>
    <row r="180" spans="1:12" x14ac:dyDescent="0.25">
      <c r="A180" s="66"/>
      <c r="B180" s="143" t="s">
        <v>729</v>
      </c>
      <c r="C180" s="144"/>
      <c r="D180" s="158"/>
      <c r="E180" s="43">
        <v>563.16999999999996</v>
      </c>
      <c r="F180" s="159"/>
      <c r="G180" s="160"/>
      <c r="H180" s="160"/>
      <c r="I180" s="160"/>
      <c r="J180" s="160"/>
      <c r="K180" s="161"/>
      <c r="L180" s="23" t="s">
        <v>33</v>
      </c>
    </row>
    <row r="181" spans="1:12" x14ac:dyDescent="0.25">
      <c r="A181" s="66"/>
      <c r="B181" s="143" t="s">
        <v>799</v>
      </c>
      <c r="C181" s="144"/>
      <c r="D181" s="158"/>
      <c r="E181" s="43">
        <v>1800</v>
      </c>
      <c r="F181" s="159"/>
      <c r="G181" s="160"/>
      <c r="H181" s="160"/>
      <c r="I181" s="160"/>
      <c r="J181" s="160"/>
      <c r="K181" s="161"/>
      <c r="L181" s="23" t="s">
        <v>33</v>
      </c>
    </row>
    <row r="182" spans="1:12" x14ac:dyDescent="0.25">
      <c r="A182" s="66"/>
      <c r="B182" s="143" t="s">
        <v>761</v>
      </c>
      <c r="C182" s="144"/>
      <c r="D182" s="158"/>
      <c r="E182" s="43">
        <v>377.68</v>
      </c>
      <c r="F182" s="159"/>
      <c r="G182" s="160"/>
      <c r="H182" s="160"/>
      <c r="I182" s="160"/>
      <c r="J182" s="160"/>
      <c r="K182" s="161"/>
      <c r="L182" s="23" t="s">
        <v>33</v>
      </c>
    </row>
    <row r="183" spans="1:12" x14ac:dyDescent="0.25">
      <c r="A183" s="66"/>
      <c r="B183" s="143" t="s">
        <v>803</v>
      </c>
      <c r="C183" s="144"/>
      <c r="D183" s="158"/>
      <c r="E183" s="43">
        <v>965.32</v>
      </c>
      <c r="F183" s="159"/>
      <c r="G183" s="160"/>
      <c r="H183" s="160"/>
      <c r="I183" s="160"/>
      <c r="J183" s="160"/>
      <c r="K183" s="161"/>
      <c r="L183" s="23" t="s">
        <v>33</v>
      </c>
    </row>
    <row r="184" spans="1:12" x14ac:dyDescent="0.25">
      <c r="A184" s="66"/>
      <c r="B184" s="143" t="s">
        <v>746</v>
      </c>
      <c r="C184" s="144"/>
      <c r="D184" s="158"/>
      <c r="E184" s="43">
        <v>115.94</v>
      </c>
      <c r="F184" s="159"/>
      <c r="G184" s="160"/>
      <c r="H184" s="160"/>
      <c r="I184" s="160"/>
      <c r="J184" s="160"/>
      <c r="K184" s="161"/>
      <c r="L184" s="23" t="s">
        <v>33</v>
      </c>
    </row>
    <row r="185" spans="1:12" x14ac:dyDescent="0.25">
      <c r="A185" s="66"/>
      <c r="B185" s="143" t="s">
        <v>751</v>
      </c>
      <c r="C185" s="144"/>
      <c r="D185" s="158"/>
      <c r="E185" s="43">
        <v>2004.5</v>
      </c>
      <c r="F185" s="159"/>
      <c r="G185" s="160"/>
      <c r="H185" s="160"/>
      <c r="I185" s="160"/>
      <c r="J185" s="160"/>
      <c r="K185" s="161"/>
      <c r="L185" s="23" t="s">
        <v>33</v>
      </c>
    </row>
    <row r="186" spans="1:12" x14ac:dyDescent="0.25">
      <c r="A186" s="66"/>
      <c r="B186" s="143" t="s">
        <v>736</v>
      </c>
      <c r="C186" s="144"/>
      <c r="D186" s="158"/>
      <c r="E186" s="43">
        <v>484.56</v>
      </c>
      <c r="F186" s="159"/>
      <c r="G186" s="160"/>
      <c r="H186" s="160"/>
      <c r="I186" s="160"/>
      <c r="J186" s="160"/>
      <c r="K186" s="161"/>
      <c r="L186" s="23" t="s">
        <v>33</v>
      </c>
    </row>
    <row r="187" spans="1:12" x14ac:dyDescent="0.25">
      <c r="A187" s="66"/>
      <c r="B187" s="143" t="s">
        <v>804</v>
      </c>
      <c r="C187" s="144"/>
      <c r="D187" s="158"/>
      <c r="E187" s="43">
        <v>2232.38</v>
      </c>
      <c r="F187" s="159"/>
      <c r="G187" s="160"/>
      <c r="H187" s="160"/>
      <c r="I187" s="160"/>
      <c r="J187" s="160"/>
      <c r="K187" s="161"/>
      <c r="L187" s="23" t="s">
        <v>33</v>
      </c>
    </row>
    <row r="188" spans="1:12" x14ac:dyDescent="0.25">
      <c r="A188" s="66"/>
      <c r="B188" s="143" t="s">
        <v>805</v>
      </c>
      <c r="C188" s="144"/>
      <c r="D188" s="158"/>
      <c r="E188" s="43">
        <v>121.27</v>
      </c>
      <c r="F188" s="159"/>
      <c r="G188" s="160"/>
      <c r="H188" s="160"/>
      <c r="I188" s="160"/>
      <c r="J188" s="160"/>
      <c r="K188" s="161"/>
      <c r="L188" s="23" t="s">
        <v>33</v>
      </c>
    </row>
    <row r="189" spans="1:12" x14ac:dyDescent="0.25">
      <c r="A189" s="66"/>
      <c r="B189" s="143" t="s">
        <v>751</v>
      </c>
      <c r="C189" s="144"/>
      <c r="D189" s="158"/>
      <c r="E189" s="43">
        <v>2213.54</v>
      </c>
      <c r="F189" s="159"/>
      <c r="G189" s="160"/>
      <c r="H189" s="160"/>
      <c r="I189" s="160"/>
      <c r="J189" s="160"/>
      <c r="K189" s="161"/>
      <c r="L189" s="23" t="s">
        <v>33</v>
      </c>
    </row>
    <row r="190" spans="1:12" x14ac:dyDescent="0.25">
      <c r="A190" s="66"/>
      <c r="B190" s="143" t="s">
        <v>556</v>
      </c>
      <c r="C190" s="144"/>
      <c r="D190" s="158"/>
      <c r="E190" s="43">
        <v>635.45000000000005</v>
      </c>
      <c r="F190" s="159"/>
      <c r="G190" s="160"/>
      <c r="H190" s="160"/>
      <c r="I190" s="160"/>
      <c r="J190" s="160"/>
      <c r="K190" s="161"/>
      <c r="L190" s="23" t="s">
        <v>33</v>
      </c>
    </row>
    <row r="191" spans="1:12" x14ac:dyDescent="0.25">
      <c r="A191" s="66"/>
      <c r="B191" s="143" t="s">
        <v>806</v>
      </c>
      <c r="C191" s="144"/>
      <c r="D191" s="158"/>
      <c r="E191" s="43">
        <v>355.21</v>
      </c>
      <c r="F191" s="159"/>
      <c r="G191" s="160"/>
      <c r="H191" s="160"/>
      <c r="I191" s="160"/>
      <c r="J191" s="160"/>
      <c r="K191" s="161"/>
      <c r="L191" s="23" t="s">
        <v>33</v>
      </c>
    </row>
    <row r="192" spans="1:12" x14ac:dyDescent="0.25">
      <c r="A192" s="66"/>
      <c r="B192" s="143" t="s">
        <v>807</v>
      </c>
      <c r="C192" s="144"/>
      <c r="D192" s="158"/>
      <c r="E192" s="43">
        <v>1161.72</v>
      </c>
      <c r="F192" s="159"/>
      <c r="G192" s="160"/>
      <c r="H192" s="160"/>
      <c r="I192" s="160"/>
      <c r="J192" s="160"/>
      <c r="K192" s="161"/>
      <c r="L192" s="23" t="s">
        <v>33</v>
      </c>
    </row>
    <row r="193" spans="1:12" x14ac:dyDescent="0.25">
      <c r="A193" s="66"/>
      <c r="B193" s="143" t="s">
        <v>729</v>
      </c>
      <c r="C193" s="144"/>
      <c r="D193" s="158"/>
      <c r="E193" s="43">
        <v>506.66</v>
      </c>
      <c r="F193" s="159"/>
      <c r="G193" s="160"/>
      <c r="H193" s="160"/>
      <c r="I193" s="160"/>
      <c r="J193" s="160"/>
      <c r="K193" s="161"/>
      <c r="L193" s="23" t="s">
        <v>33</v>
      </c>
    </row>
    <row r="194" spans="1:12" x14ac:dyDescent="0.25">
      <c r="A194" s="66"/>
      <c r="B194" s="143" t="s">
        <v>778</v>
      </c>
      <c r="C194" s="144"/>
      <c r="D194" s="158"/>
      <c r="E194" s="43">
        <v>54</v>
      </c>
      <c r="F194" s="159"/>
      <c r="G194" s="160"/>
      <c r="H194" s="160"/>
      <c r="I194" s="160"/>
      <c r="J194" s="160"/>
      <c r="K194" s="161"/>
      <c r="L194" s="23" t="s">
        <v>33</v>
      </c>
    </row>
    <row r="195" spans="1:12" x14ac:dyDescent="0.25">
      <c r="A195" s="66"/>
      <c r="B195" s="143" t="s">
        <v>726</v>
      </c>
      <c r="C195" s="144"/>
      <c r="D195" s="158"/>
      <c r="E195" s="43">
        <v>667.76</v>
      </c>
      <c r="F195" s="159"/>
      <c r="G195" s="160"/>
      <c r="H195" s="160"/>
      <c r="I195" s="160"/>
      <c r="J195" s="160"/>
      <c r="K195" s="161"/>
      <c r="L195" s="23" t="s">
        <v>33</v>
      </c>
    </row>
    <row r="196" spans="1:12" x14ac:dyDescent="0.25">
      <c r="A196" s="66"/>
      <c r="B196" s="143" t="s">
        <v>649</v>
      </c>
      <c r="C196" s="144"/>
      <c r="D196" s="158"/>
      <c r="E196" s="43">
        <v>557.57000000000005</v>
      </c>
      <c r="F196" s="159"/>
      <c r="G196" s="160"/>
      <c r="H196" s="160"/>
      <c r="I196" s="160"/>
      <c r="J196" s="160"/>
      <c r="K196" s="161"/>
      <c r="L196" s="23" t="s">
        <v>33</v>
      </c>
    </row>
    <row r="197" spans="1:12" x14ac:dyDescent="0.25">
      <c r="A197" s="66"/>
      <c r="B197" s="143" t="s">
        <v>762</v>
      </c>
      <c r="C197" s="144"/>
      <c r="D197" s="158"/>
      <c r="E197" s="43">
        <v>422.4</v>
      </c>
      <c r="F197" s="159"/>
      <c r="G197" s="160"/>
      <c r="H197" s="160"/>
      <c r="I197" s="160"/>
      <c r="J197" s="160"/>
      <c r="K197" s="161"/>
      <c r="L197" s="23" t="s">
        <v>33</v>
      </c>
    </row>
    <row r="198" spans="1:12" x14ac:dyDescent="0.25">
      <c r="A198" s="66"/>
      <c r="B198" s="143" t="s">
        <v>808</v>
      </c>
      <c r="C198" s="144"/>
      <c r="D198" s="158"/>
      <c r="E198" s="43">
        <v>379.53</v>
      </c>
      <c r="F198" s="159"/>
      <c r="G198" s="160"/>
      <c r="H198" s="160"/>
      <c r="I198" s="160"/>
      <c r="J198" s="160"/>
      <c r="K198" s="161"/>
      <c r="L198" s="23" t="s">
        <v>33</v>
      </c>
    </row>
    <row r="199" spans="1:12" x14ac:dyDescent="0.25">
      <c r="A199" s="66"/>
      <c r="B199" s="143" t="s">
        <v>809</v>
      </c>
      <c r="C199" s="144"/>
      <c r="D199" s="158"/>
      <c r="E199" s="43">
        <v>319.33</v>
      </c>
      <c r="F199" s="159"/>
      <c r="G199" s="160"/>
      <c r="H199" s="160"/>
      <c r="I199" s="160"/>
      <c r="J199" s="160"/>
      <c r="K199" s="161"/>
      <c r="L199" s="23" t="s">
        <v>33</v>
      </c>
    </row>
    <row r="200" spans="1:12" x14ac:dyDescent="0.25">
      <c r="A200" s="66"/>
      <c r="B200" s="143" t="s">
        <v>748</v>
      </c>
      <c r="C200" s="144"/>
      <c r="D200" s="158"/>
      <c r="E200" s="43">
        <v>6345.75</v>
      </c>
      <c r="F200" s="159"/>
      <c r="G200" s="160"/>
      <c r="H200" s="160"/>
      <c r="I200" s="160"/>
      <c r="J200" s="160"/>
      <c r="K200" s="161"/>
      <c r="L200" s="23" t="s">
        <v>33</v>
      </c>
    </row>
    <row r="201" spans="1:12" x14ac:dyDescent="0.25">
      <c r="A201" s="66"/>
      <c r="B201" s="143" t="s">
        <v>810</v>
      </c>
      <c r="C201" s="144"/>
      <c r="D201" s="158"/>
      <c r="E201" s="43">
        <v>12016.24</v>
      </c>
      <c r="F201" s="159"/>
      <c r="G201" s="160"/>
      <c r="H201" s="160"/>
      <c r="I201" s="160"/>
      <c r="J201" s="160"/>
      <c r="K201" s="161"/>
      <c r="L201" s="23" t="s">
        <v>33</v>
      </c>
    </row>
    <row r="202" spans="1:12" x14ac:dyDescent="0.25">
      <c r="A202" s="66"/>
      <c r="B202" s="143" t="s">
        <v>733</v>
      </c>
      <c r="C202" s="144"/>
      <c r="D202" s="158"/>
      <c r="E202" s="43">
        <v>341.59</v>
      </c>
      <c r="F202" s="159"/>
      <c r="G202" s="160"/>
      <c r="H202" s="160"/>
      <c r="I202" s="160"/>
      <c r="J202" s="160"/>
      <c r="K202" s="161"/>
      <c r="L202" s="23" t="s">
        <v>33</v>
      </c>
    </row>
    <row r="203" spans="1:12" x14ac:dyDescent="0.25">
      <c r="A203" s="66"/>
      <c r="B203" s="143" t="s">
        <v>726</v>
      </c>
      <c r="C203" s="144"/>
      <c r="D203" s="158"/>
      <c r="E203" s="43">
        <v>266.83999999999997</v>
      </c>
      <c r="F203" s="159"/>
      <c r="G203" s="160"/>
      <c r="H203" s="160"/>
      <c r="I203" s="160"/>
      <c r="J203" s="160"/>
      <c r="K203" s="161"/>
      <c r="L203" s="23" t="s">
        <v>33</v>
      </c>
    </row>
    <row r="204" spans="1:12" x14ac:dyDescent="0.25">
      <c r="A204" s="66"/>
      <c r="B204" s="143" t="s">
        <v>811</v>
      </c>
      <c r="C204" s="144"/>
      <c r="D204" s="158"/>
      <c r="E204" s="43">
        <v>5913.45</v>
      </c>
      <c r="F204" s="159"/>
      <c r="G204" s="160"/>
      <c r="H204" s="160"/>
      <c r="I204" s="160"/>
      <c r="J204" s="160"/>
      <c r="K204" s="161"/>
      <c r="L204" s="23" t="s">
        <v>33</v>
      </c>
    </row>
    <row r="205" spans="1:12" x14ac:dyDescent="0.25">
      <c r="A205" s="66"/>
      <c r="B205" s="143" t="s">
        <v>812</v>
      </c>
      <c r="C205" s="144"/>
      <c r="D205" s="158"/>
      <c r="E205" s="43">
        <v>481.55</v>
      </c>
      <c r="F205" s="159"/>
      <c r="G205" s="160"/>
      <c r="H205" s="160"/>
      <c r="I205" s="160"/>
      <c r="J205" s="160"/>
      <c r="K205" s="161"/>
      <c r="L205" s="23" t="s">
        <v>33</v>
      </c>
    </row>
    <row r="206" spans="1:12" x14ac:dyDescent="0.25">
      <c r="A206" s="66"/>
      <c r="B206" s="143" t="s">
        <v>813</v>
      </c>
      <c r="C206" s="144"/>
      <c r="D206" s="158"/>
      <c r="E206" s="43">
        <v>2496.2600000000002</v>
      </c>
      <c r="F206" s="159"/>
      <c r="G206" s="160"/>
      <c r="H206" s="160"/>
      <c r="I206" s="160"/>
      <c r="J206" s="160"/>
      <c r="K206" s="161"/>
      <c r="L206" s="23" t="s">
        <v>33</v>
      </c>
    </row>
    <row r="207" spans="1:12" x14ac:dyDescent="0.25">
      <c r="A207" s="66"/>
      <c r="B207" s="143" t="s">
        <v>419</v>
      </c>
      <c r="C207" s="144"/>
      <c r="D207" s="158"/>
      <c r="E207" s="43">
        <v>6029.11</v>
      </c>
      <c r="F207" s="159"/>
      <c r="G207" s="160"/>
      <c r="H207" s="160"/>
      <c r="I207" s="160"/>
      <c r="J207" s="160"/>
      <c r="K207" s="161"/>
      <c r="L207" s="23" t="s">
        <v>33</v>
      </c>
    </row>
    <row r="208" spans="1:12" x14ac:dyDescent="0.25">
      <c r="A208" s="66"/>
      <c r="B208" s="143" t="s">
        <v>752</v>
      </c>
      <c r="C208" s="144"/>
      <c r="D208" s="158"/>
      <c r="E208" s="43">
        <v>416.1</v>
      </c>
      <c r="F208" s="159"/>
      <c r="G208" s="160"/>
      <c r="H208" s="160"/>
      <c r="I208" s="160"/>
      <c r="J208" s="160"/>
      <c r="K208" s="161"/>
      <c r="L208" s="23" t="s">
        <v>33</v>
      </c>
    </row>
    <row r="209" spans="1:12" ht="16.5" thickBot="1" x14ac:dyDescent="0.3">
      <c r="A209" s="66"/>
      <c r="B209" s="143" t="s">
        <v>738</v>
      </c>
      <c r="C209" s="144"/>
      <c r="D209" s="158"/>
      <c r="E209" s="43">
        <v>695.98</v>
      </c>
      <c r="F209" s="159"/>
      <c r="G209" s="160"/>
      <c r="H209" s="160"/>
      <c r="I209" s="160"/>
      <c r="J209" s="160"/>
      <c r="K209" s="161"/>
      <c r="L209" s="23" t="s">
        <v>33</v>
      </c>
    </row>
    <row r="210" spans="1:12" ht="16.5" thickBot="1" x14ac:dyDescent="0.3">
      <c r="A210" s="70" t="s">
        <v>458</v>
      </c>
      <c r="B210" s="173" t="s">
        <v>463</v>
      </c>
      <c r="C210" s="174"/>
      <c r="D210" s="175"/>
      <c r="E210" s="36" t="s">
        <v>8</v>
      </c>
      <c r="F210" s="119" t="s">
        <v>15</v>
      </c>
      <c r="G210" s="120"/>
      <c r="H210" s="120"/>
      <c r="I210" s="120"/>
      <c r="J210" s="120"/>
      <c r="K210" s="121"/>
      <c r="L210" s="39" t="s">
        <v>16</v>
      </c>
    </row>
    <row r="211" spans="1:12" ht="16.5" thickBot="1" x14ac:dyDescent="0.3">
      <c r="A211" s="17" t="s">
        <v>226</v>
      </c>
      <c r="B211" s="128" t="s">
        <v>320</v>
      </c>
      <c r="C211" s="129"/>
      <c r="D211" s="162"/>
      <c r="E211" s="43">
        <v>830.41</v>
      </c>
      <c r="F211" s="163"/>
      <c r="G211" s="164"/>
      <c r="H211" s="164"/>
      <c r="I211" s="164"/>
      <c r="J211" s="164"/>
      <c r="K211" s="165"/>
      <c r="L211" s="23" t="s">
        <v>33</v>
      </c>
    </row>
    <row r="212" spans="1:12" x14ac:dyDescent="0.25">
      <c r="A212" s="17" t="s">
        <v>321</v>
      </c>
      <c r="B212" s="128" t="s">
        <v>814</v>
      </c>
      <c r="C212" s="129"/>
      <c r="D212" s="162"/>
      <c r="E212" s="43">
        <v>386.12</v>
      </c>
      <c r="F212" s="159"/>
      <c r="G212" s="160"/>
      <c r="H212" s="160"/>
      <c r="I212" s="160"/>
      <c r="J212" s="160"/>
      <c r="K212" s="161"/>
      <c r="L212" s="23" t="s">
        <v>33</v>
      </c>
    </row>
    <row r="213" spans="1:12" x14ac:dyDescent="0.25">
      <c r="A213" s="17" t="s">
        <v>323</v>
      </c>
      <c r="B213" s="143" t="s">
        <v>715</v>
      </c>
      <c r="C213" s="144"/>
      <c r="D213" s="158"/>
      <c r="E213" s="43">
        <v>167.17</v>
      </c>
      <c r="F213" s="159"/>
      <c r="G213" s="160"/>
      <c r="H213" s="160"/>
      <c r="I213" s="160"/>
      <c r="J213" s="160"/>
      <c r="K213" s="161"/>
      <c r="L213" s="23" t="s">
        <v>33</v>
      </c>
    </row>
    <row r="214" spans="1:12" x14ac:dyDescent="0.25">
      <c r="A214" s="17" t="s">
        <v>324</v>
      </c>
      <c r="B214" s="143" t="s">
        <v>325</v>
      </c>
      <c r="C214" s="144"/>
      <c r="D214" s="158"/>
      <c r="E214" s="43">
        <v>322.77</v>
      </c>
      <c r="F214" s="159"/>
      <c r="G214" s="160"/>
      <c r="H214" s="160"/>
      <c r="I214" s="160"/>
      <c r="J214" s="160"/>
      <c r="K214" s="161"/>
      <c r="L214" s="23" t="s">
        <v>33</v>
      </c>
    </row>
    <row r="215" spans="1:12" x14ac:dyDescent="0.25">
      <c r="A215" s="17" t="s">
        <v>64</v>
      </c>
      <c r="B215" s="143" t="s">
        <v>327</v>
      </c>
      <c r="C215" s="144"/>
      <c r="D215" s="158"/>
      <c r="E215" s="43">
        <v>458.13</v>
      </c>
      <c r="F215" s="159"/>
      <c r="G215" s="160"/>
      <c r="H215" s="160"/>
      <c r="I215" s="160"/>
      <c r="J215" s="160"/>
      <c r="K215" s="161"/>
      <c r="L215" s="23" t="s">
        <v>33</v>
      </c>
    </row>
    <row r="216" spans="1:12" x14ac:dyDescent="0.25">
      <c r="A216" s="17" t="s">
        <v>140</v>
      </c>
      <c r="B216" s="143" t="s">
        <v>815</v>
      </c>
      <c r="C216" s="144"/>
      <c r="D216" s="158"/>
      <c r="E216" s="43">
        <v>781.97</v>
      </c>
      <c r="F216" s="159"/>
      <c r="G216" s="160"/>
      <c r="H216" s="160"/>
      <c r="I216" s="160"/>
      <c r="J216" s="160"/>
      <c r="K216" s="161"/>
      <c r="L216" s="23" t="s">
        <v>33</v>
      </c>
    </row>
    <row r="217" spans="1:12" x14ac:dyDescent="0.25">
      <c r="A217" s="17" t="s">
        <v>328</v>
      </c>
      <c r="B217" s="143" t="s">
        <v>329</v>
      </c>
      <c r="C217" s="144"/>
      <c r="D217" s="158"/>
      <c r="E217" s="43">
        <v>696.75</v>
      </c>
      <c r="F217" s="159"/>
      <c r="G217" s="160"/>
      <c r="H217" s="160"/>
      <c r="I217" s="160"/>
      <c r="J217" s="160"/>
      <c r="K217" s="161"/>
      <c r="L217" s="23" t="s">
        <v>33</v>
      </c>
    </row>
    <row r="218" spans="1:12" x14ac:dyDescent="0.25">
      <c r="A218" s="17" t="s">
        <v>190</v>
      </c>
      <c r="B218" s="143" t="s">
        <v>816</v>
      </c>
      <c r="C218" s="144"/>
      <c r="D218" s="158"/>
      <c r="E218" s="43">
        <v>342.24</v>
      </c>
      <c r="F218" s="159"/>
      <c r="G218" s="160"/>
      <c r="H218" s="160"/>
      <c r="I218" s="160"/>
      <c r="J218" s="160"/>
      <c r="K218" s="161"/>
      <c r="L218" s="23" t="s">
        <v>33</v>
      </c>
    </row>
    <row r="219" spans="1:12" x14ac:dyDescent="0.25">
      <c r="A219" s="17" t="s">
        <v>331</v>
      </c>
      <c r="B219" s="143" t="s">
        <v>817</v>
      </c>
      <c r="C219" s="144"/>
      <c r="D219" s="158"/>
      <c r="E219" s="43">
        <v>540.80999999999995</v>
      </c>
      <c r="F219" s="159"/>
      <c r="G219" s="160"/>
      <c r="H219" s="160"/>
      <c r="I219" s="160"/>
      <c r="J219" s="160"/>
      <c r="K219" s="161"/>
      <c r="L219" s="23" t="s">
        <v>33</v>
      </c>
    </row>
    <row r="220" spans="1:12" x14ac:dyDescent="0.25">
      <c r="A220" s="17" t="s">
        <v>80</v>
      </c>
      <c r="B220" s="143" t="s">
        <v>332</v>
      </c>
      <c r="C220" s="144"/>
      <c r="D220" s="158"/>
      <c r="E220" s="43">
        <v>414.54</v>
      </c>
      <c r="F220" s="159"/>
      <c r="G220" s="160"/>
      <c r="H220" s="160"/>
      <c r="I220" s="160"/>
      <c r="J220" s="160"/>
      <c r="K220" s="161"/>
      <c r="L220" s="17" t="s">
        <v>33</v>
      </c>
    </row>
    <row r="221" spans="1:12" x14ac:dyDescent="0.25">
      <c r="A221" s="17" t="s">
        <v>149</v>
      </c>
      <c r="B221" s="143" t="s">
        <v>818</v>
      </c>
      <c r="C221" s="144"/>
      <c r="D221" s="158"/>
      <c r="E221" s="43">
        <v>401.62</v>
      </c>
      <c r="F221" s="159"/>
      <c r="G221" s="160"/>
      <c r="H221" s="160"/>
      <c r="I221" s="160"/>
      <c r="J221" s="160"/>
      <c r="K221" s="161"/>
      <c r="L221" s="17" t="s">
        <v>33</v>
      </c>
    </row>
    <row r="222" spans="1:12" x14ac:dyDescent="0.25">
      <c r="A222" s="17" t="s">
        <v>73</v>
      </c>
      <c r="B222" s="143" t="s">
        <v>819</v>
      </c>
      <c r="C222" s="144"/>
      <c r="D222" s="158"/>
      <c r="E222" s="43">
        <v>1081.52</v>
      </c>
      <c r="F222" s="159"/>
      <c r="G222" s="160"/>
      <c r="H222" s="160"/>
      <c r="I222" s="160"/>
      <c r="J222" s="160"/>
      <c r="K222" s="161"/>
      <c r="L222" s="17" t="s">
        <v>33</v>
      </c>
    </row>
    <row r="223" spans="1:12" x14ac:dyDescent="0.25">
      <c r="A223" s="17" t="s">
        <v>333</v>
      </c>
      <c r="B223" s="143" t="s">
        <v>820</v>
      </c>
      <c r="C223" s="144"/>
      <c r="D223" s="158"/>
      <c r="E223" s="43">
        <v>1309.78</v>
      </c>
      <c r="F223" s="159"/>
      <c r="G223" s="160"/>
      <c r="H223" s="160"/>
      <c r="I223" s="160"/>
      <c r="J223" s="160"/>
      <c r="K223" s="161"/>
      <c r="L223" s="17" t="s">
        <v>33</v>
      </c>
    </row>
    <row r="224" spans="1:12" x14ac:dyDescent="0.25">
      <c r="A224" s="17" t="s">
        <v>334</v>
      </c>
      <c r="B224" s="143" t="s">
        <v>821</v>
      </c>
      <c r="C224" s="144"/>
      <c r="D224" s="158"/>
      <c r="E224" s="43">
        <v>293.02999999999997</v>
      </c>
      <c r="F224" s="159"/>
      <c r="G224" s="160"/>
      <c r="H224" s="160"/>
      <c r="I224" s="160"/>
      <c r="J224" s="160"/>
      <c r="K224" s="161"/>
      <c r="L224" s="17" t="s">
        <v>33</v>
      </c>
    </row>
    <row r="225" spans="1:12" x14ac:dyDescent="0.25">
      <c r="A225" s="17" t="s">
        <v>184</v>
      </c>
      <c r="B225" s="143" t="s">
        <v>822</v>
      </c>
      <c r="C225" s="144"/>
      <c r="D225" s="158"/>
      <c r="E225" s="43">
        <v>236.09</v>
      </c>
      <c r="F225" s="159"/>
      <c r="G225" s="160"/>
      <c r="H225" s="160"/>
      <c r="I225" s="160"/>
      <c r="J225" s="160"/>
      <c r="K225" s="161"/>
      <c r="L225" s="17" t="s">
        <v>33</v>
      </c>
    </row>
    <row r="226" spans="1:12" x14ac:dyDescent="0.25">
      <c r="A226" s="17" t="s">
        <v>190</v>
      </c>
      <c r="B226" s="143" t="s">
        <v>816</v>
      </c>
      <c r="C226" s="144"/>
      <c r="D226" s="158"/>
      <c r="E226" s="43">
        <v>342.24</v>
      </c>
      <c r="F226" s="159"/>
      <c r="G226" s="160"/>
      <c r="H226" s="160"/>
      <c r="I226" s="160"/>
      <c r="J226" s="160"/>
      <c r="K226" s="161"/>
      <c r="L226" s="17" t="s">
        <v>33</v>
      </c>
    </row>
    <row r="227" spans="1:12" x14ac:dyDescent="0.25">
      <c r="A227" s="17" t="s">
        <v>187</v>
      </c>
      <c r="B227" s="143" t="s">
        <v>337</v>
      </c>
      <c r="C227" s="144"/>
      <c r="D227" s="158"/>
      <c r="E227" s="43">
        <v>314.13</v>
      </c>
      <c r="F227" s="159"/>
      <c r="G227" s="160"/>
      <c r="H227" s="160"/>
      <c r="I227" s="160"/>
      <c r="J227" s="160"/>
      <c r="K227" s="161"/>
      <c r="L227" s="17" t="s">
        <v>33</v>
      </c>
    </row>
    <row r="228" spans="1:12" x14ac:dyDescent="0.25">
      <c r="A228" s="17" t="s">
        <v>338</v>
      </c>
      <c r="B228" s="143" t="s">
        <v>823</v>
      </c>
      <c r="C228" s="144"/>
      <c r="D228" s="158"/>
      <c r="E228" s="43">
        <v>628.84</v>
      </c>
      <c r="F228" s="159"/>
      <c r="G228" s="160"/>
      <c r="H228" s="160"/>
      <c r="I228" s="160"/>
      <c r="J228" s="160"/>
      <c r="K228" s="161"/>
      <c r="L228" s="17" t="s">
        <v>33</v>
      </c>
    </row>
    <row r="229" spans="1:12" x14ac:dyDescent="0.25">
      <c r="A229" s="17" t="s">
        <v>193</v>
      </c>
      <c r="B229" s="143" t="s">
        <v>824</v>
      </c>
      <c r="C229" s="144"/>
      <c r="D229" s="158"/>
      <c r="E229" s="43">
        <v>1581.95</v>
      </c>
      <c r="F229" s="159"/>
      <c r="G229" s="160"/>
      <c r="H229" s="160"/>
      <c r="I229" s="160"/>
      <c r="J229" s="160"/>
      <c r="K229" s="161"/>
      <c r="L229" s="17" t="s">
        <v>33</v>
      </c>
    </row>
    <row r="230" spans="1:12" x14ac:dyDescent="0.25">
      <c r="A230" s="17" t="s">
        <v>345</v>
      </c>
      <c r="B230" s="143" t="s">
        <v>346</v>
      </c>
      <c r="C230" s="144"/>
      <c r="D230" s="158"/>
      <c r="E230" s="43">
        <v>582.77</v>
      </c>
      <c r="F230" s="159"/>
      <c r="G230" s="160"/>
      <c r="H230" s="160"/>
      <c r="I230" s="160"/>
      <c r="J230" s="160"/>
      <c r="K230" s="161"/>
      <c r="L230" s="17" t="s">
        <v>33</v>
      </c>
    </row>
    <row r="231" spans="1:12" ht="16.5" thickBot="1" x14ac:dyDescent="0.3">
      <c r="A231" s="26"/>
      <c r="B231" s="149"/>
      <c r="C231" s="150"/>
      <c r="D231" s="169"/>
      <c r="E231" s="45"/>
      <c r="F231" s="170"/>
      <c r="G231" s="171"/>
      <c r="H231" s="171"/>
      <c r="I231" s="171"/>
      <c r="J231" s="171"/>
      <c r="K231" s="172"/>
      <c r="L231" s="26"/>
    </row>
    <row r="232" spans="1:12" x14ac:dyDescent="0.25">
      <c r="A232" s="68"/>
      <c r="B232" s="69"/>
      <c r="C232" s="46"/>
      <c r="D232" s="46"/>
      <c r="F232" s="47"/>
      <c r="G232" s="47"/>
      <c r="H232" s="47"/>
      <c r="I232" s="47"/>
      <c r="J232" s="47"/>
      <c r="K232" s="47"/>
    </row>
    <row r="233" spans="1:12" x14ac:dyDescent="0.25">
      <c r="B233" s="176" t="s">
        <v>464</v>
      </c>
      <c r="C233" s="176"/>
      <c r="D233" s="176"/>
      <c r="E233" s="6">
        <f>SUM(E39:E47)</f>
        <v>1734.2199999999998</v>
      </c>
      <c r="F233" s="6"/>
      <c r="G233" s="6"/>
      <c r="H233" s="6"/>
      <c r="I233" s="6"/>
      <c r="J233" s="6"/>
      <c r="K233" s="6"/>
    </row>
    <row r="234" spans="1:12" x14ac:dyDescent="0.25">
      <c r="B234" s="176" t="s">
        <v>465</v>
      </c>
      <c r="C234" s="176"/>
      <c r="D234" s="176"/>
      <c r="E234" s="6">
        <f>SUM(E20:E37)</f>
        <v>4054.5399999999995</v>
      </c>
    </row>
    <row r="235" spans="1:12" x14ac:dyDescent="0.25">
      <c r="B235" s="176" t="s">
        <v>466</v>
      </c>
      <c r="C235" s="176"/>
      <c r="D235" s="176"/>
      <c r="E235" s="6">
        <f>SUM(E49:E57)</f>
        <v>0</v>
      </c>
    </row>
    <row r="240" spans="1:12" ht="18.75" x14ac:dyDescent="0.3">
      <c r="B240" s="48"/>
    </row>
  </sheetData>
  <mergeCells count="451">
    <mergeCell ref="B209:D209"/>
    <mergeCell ref="F209:K209"/>
    <mergeCell ref="B204:D204"/>
    <mergeCell ref="F204:K204"/>
    <mergeCell ref="B205:D205"/>
    <mergeCell ref="F205:K205"/>
    <mergeCell ref="B206:D206"/>
    <mergeCell ref="F206:K206"/>
    <mergeCell ref="B207:D207"/>
    <mergeCell ref="F207:K207"/>
    <mergeCell ref="B208:D208"/>
    <mergeCell ref="F208:K208"/>
    <mergeCell ref="B199:D199"/>
    <mergeCell ref="F199:K199"/>
    <mergeCell ref="B200:D200"/>
    <mergeCell ref="F200:K200"/>
    <mergeCell ref="B201:D201"/>
    <mergeCell ref="F201:K201"/>
    <mergeCell ref="B202:D202"/>
    <mergeCell ref="F202:K202"/>
    <mergeCell ref="B203:D203"/>
    <mergeCell ref="F203:K203"/>
    <mergeCell ref="B194:D194"/>
    <mergeCell ref="F194:K194"/>
    <mergeCell ref="B195:D195"/>
    <mergeCell ref="F195:K195"/>
    <mergeCell ref="B196:D196"/>
    <mergeCell ref="F196:K196"/>
    <mergeCell ref="B197:D197"/>
    <mergeCell ref="F197:K197"/>
    <mergeCell ref="B198:D198"/>
    <mergeCell ref="F198:K198"/>
    <mergeCell ref="B189:D189"/>
    <mergeCell ref="F189:K189"/>
    <mergeCell ref="B190:D190"/>
    <mergeCell ref="F190:K190"/>
    <mergeCell ref="B191:D191"/>
    <mergeCell ref="F191:K191"/>
    <mergeCell ref="B192:D192"/>
    <mergeCell ref="F192:K192"/>
    <mergeCell ref="B193:D193"/>
    <mergeCell ref="F193:K193"/>
    <mergeCell ref="B184:D184"/>
    <mergeCell ref="F184:K184"/>
    <mergeCell ref="B185:D185"/>
    <mergeCell ref="F185:K185"/>
    <mergeCell ref="B186:D186"/>
    <mergeCell ref="F186:K186"/>
    <mergeCell ref="B187:D187"/>
    <mergeCell ref="F187:K187"/>
    <mergeCell ref="B188:D188"/>
    <mergeCell ref="F188:K188"/>
    <mergeCell ref="B179:D179"/>
    <mergeCell ref="F179:K179"/>
    <mergeCell ref="B180:D180"/>
    <mergeCell ref="F180:K180"/>
    <mergeCell ref="B181:D181"/>
    <mergeCell ref="F181:K181"/>
    <mergeCell ref="B182:D182"/>
    <mergeCell ref="F182:K182"/>
    <mergeCell ref="B183:D183"/>
    <mergeCell ref="F183:K183"/>
    <mergeCell ref="B174:D174"/>
    <mergeCell ref="F174:K174"/>
    <mergeCell ref="B175:D175"/>
    <mergeCell ref="F175:K175"/>
    <mergeCell ref="B176:D176"/>
    <mergeCell ref="F176:K176"/>
    <mergeCell ref="B177:D177"/>
    <mergeCell ref="F177:K177"/>
    <mergeCell ref="B178:D178"/>
    <mergeCell ref="F178:K178"/>
    <mergeCell ref="B169:D169"/>
    <mergeCell ref="F169:K169"/>
    <mergeCell ref="B170:D170"/>
    <mergeCell ref="F170:K170"/>
    <mergeCell ref="B171:D171"/>
    <mergeCell ref="F171:K171"/>
    <mergeCell ref="B172:D172"/>
    <mergeCell ref="F172:K172"/>
    <mergeCell ref="B173:D173"/>
    <mergeCell ref="F173:K173"/>
    <mergeCell ref="B164:D164"/>
    <mergeCell ref="F164:K164"/>
    <mergeCell ref="B165:D165"/>
    <mergeCell ref="F165:K165"/>
    <mergeCell ref="B166:D166"/>
    <mergeCell ref="F166:K166"/>
    <mergeCell ref="B167:D167"/>
    <mergeCell ref="F167:K167"/>
    <mergeCell ref="B168:D168"/>
    <mergeCell ref="F168:K168"/>
    <mergeCell ref="B159:D159"/>
    <mergeCell ref="F159:K159"/>
    <mergeCell ref="B160:D160"/>
    <mergeCell ref="F160:K160"/>
    <mergeCell ref="B161:D161"/>
    <mergeCell ref="F161:K161"/>
    <mergeCell ref="B162:D162"/>
    <mergeCell ref="F162:K162"/>
    <mergeCell ref="B163:D163"/>
    <mergeCell ref="F163:K163"/>
    <mergeCell ref="B154:D154"/>
    <mergeCell ref="F154:K154"/>
    <mergeCell ref="B155:D155"/>
    <mergeCell ref="F155:K155"/>
    <mergeCell ref="B156:D156"/>
    <mergeCell ref="F156:K156"/>
    <mergeCell ref="B157:D157"/>
    <mergeCell ref="F157:K157"/>
    <mergeCell ref="B158:D158"/>
    <mergeCell ref="F158:K158"/>
    <mergeCell ref="B149:D149"/>
    <mergeCell ref="F149:K149"/>
    <mergeCell ref="B150:D150"/>
    <mergeCell ref="F150:K150"/>
    <mergeCell ref="B151:D151"/>
    <mergeCell ref="F151:K151"/>
    <mergeCell ref="B152:D152"/>
    <mergeCell ref="F152:K152"/>
    <mergeCell ref="B153:D153"/>
    <mergeCell ref="F153:K153"/>
    <mergeCell ref="B144:D144"/>
    <mergeCell ref="F144:K144"/>
    <mergeCell ref="B145:D145"/>
    <mergeCell ref="F145:K145"/>
    <mergeCell ref="B146:D146"/>
    <mergeCell ref="F146:K146"/>
    <mergeCell ref="B147:D147"/>
    <mergeCell ref="F147:K147"/>
    <mergeCell ref="B148:D148"/>
    <mergeCell ref="F148:K148"/>
    <mergeCell ref="B139:D139"/>
    <mergeCell ref="F139:K139"/>
    <mergeCell ref="B140:D140"/>
    <mergeCell ref="F140:K140"/>
    <mergeCell ref="B141:D141"/>
    <mergeCell ref="F141:K141"/>
    <mergeCell ref="B142:D142"/>
    <mergeCell ref="F142:K142"/>
    <mergeCell ref="B143:D143"/>
    <mergeCell ref="F143:K143"/>
    <mergeCell ref="B134:D134"/>
    <mergeCell ref="F134:K134"/>
    <mergeCell ref="B135:D135"/>
    <mergeCell ref="F135:K135"/>
    <mergeCell ref="B136:D136"/>
    <mergeCell ref="F136:K136"/>
    <mergeCell ref="B137:D137"/>
    <mergeCell ref="F137:K137"/>
    <mergeCell ref="B138:D138"/>
    <mergeCell ref="F138:K138"/>
    <mergeCell ref="B129:D129"/>
    <mergeCell ref="F129:K129"/>
    <mergeCell ref="B130:D130"/>
    <mergeCell ref="F130:K130"/>
    <mergeCell ref="B131:D131"/>
    <mergeCell ref="F131:K131"/>
    <mergeCell ref="B132:D132"/>
    <mergeCell ref="F132:K132"/>
    <mergeCell ref="B133:D133"/>
    <mergeCell ref="F133:K133"/>
    <mergeCell ref="B124:D124"/>
    <mergeCell ref="F124:K124"/>
    <mergeCell ref="B125:D125"/>
    <mergeCell ref="F125:K125"/>
    <mergeCell ref="B126:D126"/>
    <mergeCell ref="F126:K126"/>
    <mergeCell ref="B127:D127"/>
    <mergeCell ref="F127:K127"/>
    <mergeCell ref="B128:D128"/>
    <mergeCell ref="F128:K128"/>
    <mergeCell ref="B119:D119"/>
    <mergeCell ref="F119:K119"/>
    <mergeCell ref="B120:D120"/>
    <mergeCell ref="F120:K120"/>
    <mergeCell ref="B121:D121"/>
    <mergeCell ref="F121:K121"/>
    <mergeCell ref="B122:D122"/>
    <mergeCell ref="F122:K122"/>
    <mergeCell ref="B123:D123"/>
    <mergeCell ref="F123:K123"/>
    <mergeCell ref="B114:D114"/>
    <mergeCell ref="F114:K114"/>
    <mergeCell ref="B115:D115"/>
    <mergeCell ref="F115:K115"/>
    <mergeCell ref="B116:D116"/>
    <mergeCell ref="F116:K116"/>
    <mergeCell ref="B117:D117"/>
    <mergeCell ref="F117:K117"/>
    <mergeCell ref="B118:D118"/>
    <mergeCell ref="F118:K118"/>
    <mergeCell ref="B109:D109"/>
    <mergeCell ref="F109:K109"/>
    <mergeCell ref="B110:D110"/>
    <mergeCell ref="F110:K110"/>
    <mergeCell ref="B111:D111"/>
    <mergeCell ref="F111:K111"/>
    <mergeCell ref="B112:D112"/>
    <mergeCell ref="F112:K112"/>
    <mergeCell ref="B113:D113"/>
    <mergeCell ref="F113:K113"/>
    <mergeCell ref="B104:D104"/>
    <mergeCell ref="F104:K104"/>
    <mergeCell ref="B105:D105"/>
    <mergeCell ref="F105:K105"/>
    <mergeCell ref="B106:D106"/>
    <mergeCell ref="F106:K106"/>
    <mergeCell ref="B107:D107"/>
    <mergeCell ref="F107:K107"/>
    <mergeCell ref="B108:D108"/>
    <mergeCell ref="F108:K108"/>
    <mergeCell ref="B99:D99"/>
    <mergeCell ref="F99:K99"/>
    <mergeCell ref="B100:D100"/>
    <mergeCell ref="F100:K100"/>
    <mergeCell ref="B101:D101"/>
    <mergeCell ref="F101:K101"/>
    <mergeCell ref="B102:D102"/>
    <mergeCell ref="F102:K102"/>
    <mergeCell ref="B103:D103"/>
    <mergeCell ref="F103:K103"/>
    <mergeCell ref="B94:D94"/>
    <mergeCell ref="F94:K94"/>
    <mergeCell ref="B95:D95"/>
    <mergeCell ref="F95:K95"/>
    <mergeCell ref="B96:D96"/>
    <mergeCell ref="F96:K96"/>
    <mergeCell ref="B97:D97"/>
    <mergeCell ref="F97:K97"/>
    <mergeCell ref="B98:D98"/>
    <mergeCell ref="F98:K98"/>
    <mergeCell ref="B89:D89"/>
    <mergeCell ref="F89:K89"/>
    <mergeCell ref="B90:D90"/>
    <mergeCell ref="F90:K90"/>
    <mergeCell ref="B91:D91"/>
    <mergeCell ref="F91:K91"/>
    <mergeCell ref="B92:D92"/>
    <mergeCell ref="F92:K92"/>
    <mergeCell ref="B93:D93"/>
    <mergeCell ref="F93:K93"/>
    <mergeCell ref="B84:D84"/>
    <mergeCell ref="F84:K84"/>
    <mergeCell ref="B85:D85"/>
    <mergeCell ref="F85:K85"/>
    <mergeCell ref="B86:D86"/>
    <mergeCell ref="F86:K86"/>
    <mergeCell ref="B87:D87"/>
    <mergeCell ref="F87:K87"/>
    <mergeCell ref="B88:D88"/>
    <mergeCell ref="F88:K88"/>
    <mergeCell ref="B79:D79"/>
    <mergeCell ref="F79:K79"/>
    <mergeCell ref="B80:D80"/>
    <mergeCell ref="F80:K80"/>
    <mergeCell ref="B81:D81"/>
    <mergeCell ref="F81:K81"/>
    <mergeCell ref="B82:D82"/>
    <mergeCell ref="F82:K82"/>
    <mergeCell ref="B83:D83"/>
    <mergeCell ref="F83:K83"/>
    <mergeCell ref="B74:D74"/>
    <mergeCell ref="F74:K74"/>
    <mergeCell ref="B75:D75"/>
    <mergeCell ref="F75:K75"/>
    <mergeCell ref="B76:D76"/>
    <mergeCell ref="F76:K76"/>
    <mergeCell ref="B77:D77"/>
    <mergeCell ref="F77:K77"/>
    <mergeCell ref="B78:D78"/>
    <mergeCell ref="F78:K78"/>
    <mergeCell ref="B69:D69"/>
    <mergeCell ref="F69:K69"/>
    <mergeCell ref="B70:D70"/>
    <mergeCell ref="F70:K70"/>
    <mergeCell ref="B71:D71"/>
    <mergeCell ref="F71:K71"/>
    <mergeCell ref="B72:D72"/>
    <mergeCell ref="F72:K72"/>
    <mergeCell ref="B73:D73"/>
    <mergeCell ref="F73:K73"/>
    <mergeCell ref="B64:D64"/>
    <mergeCell ref="F64:K64"/>
    <mergeCell ref="B65:D65"/>
    <mergeCell ref="F65:K65"/>
    <mergeCell ref="B66:D66"/>
    <mergeCell ref="F66:K66"/>
    <mergeCell ref="B67:D67"/>
    <mergeCell ref="F67:K67"/>
    <mergeCell ref="B68:D68"/>
    <mergeCell ref="F68:K68"/>
    <mergeCell ref="B226:D226"/>
    <mergeCell ref="F226:K226"/>
    <mergeCell ref="B228:D228"/>
    <mergeCell ref="F228:K228"/>
    <mergeCell ref="B229:D229"/>
    <mergeCell ref="F229:K229"/>
    <mergeCell ref="B221:D221"/>
    <mergeCell ref="F221:K221"/>
    <mergeCell ref="B222:D222"/>
    <mergeCell ref="F222:K222"/>
    <mergeCell ref="B223:D223"/>
    <mergeCell ref="F223:K223"/>
    <mergeCell ref="B224:D224"/>
    <mergeCell ref="F224:K224"/>
    <mergeCell ref="B225:D225"/>
    <mergeCell ref="F225:K225"/>
    <mergeCell ref="B20:D20"/>
    <mergeCell ref="H20:K20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I9:K9"/>
    <mergeCell ref="I10:K10"/>
    <mergeCell ref="I11:K11"/>
    <mergeCell ref="I12:K12"/>
    <mergeCell ref="I13:K13"/>
    <mergeCell ref="I14:K14"/>
    <mergeCell ref="A18:L18"/>
    <mergeCell ref="I6:J6"/>
    <mergeCell ref="K6:L6"/>
    <mergeCell ref="I7:J7"/>
    <mergeCell ref="K7:L7"/>
    <mergeCell ref="B8:C8"/>
    <mergeCell ref="D8:E8"/>
    <mergeCell ref="F8:G8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30:D30"/>
    <mergeCell ref="H29:K29"/>
    <mergeCell ref="B29:D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5:D45"/>
    <mergeCell ref="F45:K45"/>
    <mergeCell ref="B46:D46"/>
    <mergeCell ref="F46:K46"/>
    <mergeCell ref="B47:D47"/>
    <mergeCell ref="F47:K47"/>
    <mergeCell ref="B50:D50"/>
    <mergeCell ref="F50:K50"/>
    <mergeCell ref="B51:D51"/>
    <mergeCell ref="F51:K51"/>
    <mergeCell ref="B48:D48"/>
    <mergeCell ref="F48:K48"/>
    <mergeCell ref="B49:D49"/>
    <mergeCell ref="F49:K49"/>
    <mergeCell ref="B52:D52"/>
    <mergeCell ref="F52:K52"/>
    <mergeCell ref="B53:D53"/>
    <mergeCell ref="F53:K53"/>
    <mergeCell ref="B54:D54"/>
    <mergeCell ref="F54:K54"/>
    <mergeCell ref="B55:D55"/>
    <mergeCell ref="F55:K55"/>
    <mergeCell ref="B56:D56"/>
    <mergeCell ref="F56:K56"/>
    <mergeCell ref="B57:D57"/>
    <mergeCell ref="F57:K57"/>
    <mergeCell ref="B212:D212"/>
    <mergeCell ref="F212:K212"/>
    <mergeCell ref="B213:D213"/>
    <mergeCell ref="F213:K213"/>
    <mergeCell ref="B214:D214"/>
    <mergeCell ref="F214:K214"/>
    <mergeCell ref="B210:D210"/>
    <mergeCell ref="F210:K210"/>
    <mergeCell ref="B211:D211"/>
    <mergeCell ref="F211:K211"/>
    <mergeCell ref="B58:D58"/>
    <mergeCell ref="F58:K58"/>
    <mergeCell ref="B59:D59"/>
    <mergeCell ref="F59:K59"/>
    <mergeCell ref="B60:D60"/>
    <mergeCell ref="F60:K60"/>
    <mergeCell ref="B61:D61"/>
    <mergeCell ref="F61:K61"/>
    <mergeCell ref="B62:D62"/>
    <mergeCell ref="F62:K62"/>
    <mergeCell ref="B63:D63"/>
    <mergeCell ref="F63:K63"/>
    <mergeCell ref="B218:D218"/>
    <mergeCell ref="F218:K218"/>
    <mergeCell ref="B219:D219"/>
    <mergeCell ref="F219:K219"/>
    <mergeCell ref="B220:D220"/>
    <mergeCell ref="F220:K220"/>
    <mergeCell ref="B215:D215"/>
    <mergeCell ref="F215:K215"/>
    <mergeCell ref="B216:D216"/>
    <mergeCell ref="F216:K216"/>
    <mergeCell ref="B217:D217"/>
    <mergeCell ref="F217:K217"/>
    <mergeCell ref="B234:D234"/>
    <mergeCell ref="B235:D235"/>
    <mergeCell ref="B233:D233"/>
    <mergeCell ref="B227:D227"/>
    <mergeCell ref="F227:K227"/>
    <mergeCell ref="B230:D230"/>
    <mergeCell ref="F230:K230"/>
    <mergeCell ref="B231:D231"/>
    <mergeCell ref="F231:K231"/>
  </mergeCells>
  <conditionalFormatting sqref="A18:A19 B210:XFD211">
    <cfRule type="cellIs" dxfId="406" priority="1" stopIfTrue="1" operator="equal">
      <formula>"OK"</formula>
    </cfRule>
  </conditionalFormatting>
  <conditionalFormatting sqref="A238:XFD1048576">
    <cfRule type="cellIs" dxfId="405" priority="13" stopIfTrue="1" operator="equal">
      <formula>"OK"</formula>
    </cfRule>
  </conditionalFormatting>
  <conditionalFormatting sqref="B49:B52 B20:H37">
    <cfRule type="expression" dxfId="404" priority="20">
      <formula>$J20="ancien paiement"</formula>
    </cfRule>
  </conditionalFormatting>
  <conditionalFormatting sqref="B60:B209 E60:F209 B212:D212 E212:F213 B213 B214:K214 B215 E215:F215 B216:K231">
    <cfRule type="expression" dxfId="403" priority="19">
      <formula>$F60="ancien paiement"</formula>
    </cfRule>
    <cfRule type="expression" dxfId="402" priority="21">
      <formula>$J60="ancien paiement"</formula>
    </cfRule>
  </conditionalFormatting>
  <conditionalFormatting sqref="B60:B209 E60:F209 B212:D212 E212:F213 B213 B214:XFD214 B215 E215:F215 B216:XFD237 B19:H37 B38:XFD47 B58:XFD59 B1:J1 M1:XFD1 A2:XFD2 E3 G3:I3 M3:XFD3 B3:D6 K4 P4:XFD7 K5:L7 B7:I7 B8:D8 F8 I8 M8:XFD8 L9:XFD16 A17:XFD17 M18:XFD18 L19:XFD37 M48:XFD57 L60:XFD209 L212:XFD213 L215:XFD215">
    <cfRule type="cellIs" dxfId="401" priority="22" stopIfTrue="1" operator="equal">
      <formula>"OK"</formula>
    </cfRule>
  </conditionalFormatting>
  <conditionalFormatting sqref="B9:I16">
    <cfRule type="cellIs" dxfId="400" priority="11" stopIfTrue="1" operator="equal">
      <formula>"OK"</formula>
    </cfRule>
  </conditionalFormatting>
  <conditionalFormatting sqref="B39:K39">
    <cfRule type="expression" dxfId="399" priority="18">
      <formula>$J39="ancien paiement"</formula>
    </cfRule>
  </conditionalFormatting>
  <conditionalFormatting sqref="B39:K48 B49:B52">
    <cfRule type="expression" dxfId="398" priority="5">
      <formula>$F39="ancien paiement"</formula>
    </cfRule>
  </conditionalFormatting>
  <conditionalFormatting sqref="B41:K48">
    <cfRule type="expression" dxfId="397" priority="6">
      <formula>$J41="ancien paiement"</formula>
    </cfRule>
  </conditionalFormatting>
  <conditionalFormatting sqref="B54:K59">
    <cfRule type="expression" dxfId="396" priority="7">
      <formula>$F54="ancien paiement"</formula>
    </cfRule>
    <cfRule type="expression" dxfId="395" priority="8">
      <formula>$J54="ancien paiement"</formula>
    </cfRule>
  </conditionalFormatting>
  <conditionalFormatting sqref="B211:K211">
    <cfRule type="expression" dxfId="394" priority="14">
      <formula>$F211="ancien paiement"</formula>
    </cfRule>
    <cfRule type="expression" dxfId="393" priority="15">
      <formula>$J211="ancien paiement"</formula>
    </cfRule>
  </conditionalFormatting>
  <conditionalFormatting sqref="B51:L57 B48:L49 B50:D50">
    <cfRule type="cellIs" dxfId="392" priority="9" stopIfTrue="1" operator="equal">
      <formula>"OK"</formula>
    </cfRule>
  </conditionalFormatting>
  <conditionalFormatting sqref="E49">
    <cfRule type="expression" dxfId="391" priority="10">
      <formula>#REF!="ancien paiement"</formula>
    </cfRule>
  </conditionalFormatting>
  <conditionalFormatting sqref="E49:F52">
    <cfRule type="expression" dxfId="390" priority="2">
      <formula>$F49="ancien paiement"</formula>
    </cfRule>
    <cfRule type="expression" dxfId="389" priority="3">
      <formula>$J49="ancien paiement"</formula>
    </cfRule>
  </conditionalFormatting>
  <conditionalFormatting sqref="E4:I6">
    <cfRule type="cellIs" dxfId="388" priority="12" stopIfTrue="1" operator="equal">
      <formula>"OK"</formula>
    </cfRule>
  </conditionalFormatting>
  <conditionalFormatting sqref="E50:L50">
    <cfRule type="cellIs" dxfId="387" priority="4" stopIfTrue="1" operator="equal">
      <formula>"OK"</formula>
    </cfRule>
  </conditionalFormatting>
  <pageMargins left="0.7" right="0.7" top="0.75" bottom="0.75" header="0.3" footer="0.3"/>
  <pageSetup paperSize="9" scale="2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351F-FC29-476A-A2B7-ADBD8B3C818F}">
  <sheetPr>
    <pageSetUpPr fitToPage="1"/>
  </sheetPr>
  <dimension ref="A1:N205"/>
  <sheetViews>
    <sheetView topLeftCell="A31" workbookViewId="0">
      <selection activeCell="E191" sqref="E191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1.42578125" style="1" bestFit="1" customWidth="1"/>
    <col min="13" max="16384" width="11.42578125" style="1"/>
  </cols>
  <sheetData>
    <row r="1" spans="2:14" x14ac:dyDescent="0.25">
      <c r="G1" s="1" t="s">
        <v>825</v>
      </c>
      <c r="I1" s="2" t="s">
        <v>0</v>
      </c>
      <c r="J1" s="105">
        <v>46126</v>
      </c>
      <c r="K1" s="105"/>
      <c r="L1" s="105"/>
    </row>
    <row r="2" spans="2:14" ht="16.5" thickBot="1" x14ac:dyDescent="0.3">
      <c r="G2" s="1" t="s">
        <v>826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827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10170</v>
      </c>
      <c r="G4" s="1" t="s">
        <v>828</v>
      </c>
      <c r="I4" s="112" t="s">
        <v>3</v>
      </c>
      <c r="J4" s="113"/>
      <c r="K4" s="114">
        <f>E198+C17</f>
        <v>10174.530000000001</v>
      </c>
      <c r="L4" s="115"/>
      <c r="N4" s="6"/>
    </row>
    <row r="5" spans="2:14" ht="16.5" thickBot="1" x14ac:dyDescent="0.3">
      <c r="E5" s="7" t="s">
        <v>4</v>
      </c>
      <c r="F5" s="8">
        <v>2324.0100000000002</v>
      </c>
      <c r="G5" s="1" t="s">
        <v>829</v>
      </c>
      <c r="I5" s="95" t="s">
        <v>5</v>
      </c>
      <c r="J5" s="96"/>
      <c r="K5" s="97">
        <f>E18+E199</f>
        <v>2324.0100000000002</v>
      </c>
      <c r="L5" s="98"/>
      <c r="N5" s="6"/>
    </row>
    <row r="6" spans="2:14" ht="16.5" thickBot="1" x14ac:dyDescent="0.3">
      <c r="E6" s="9" t="s">
        <v>445</v>
      </c>
      <c r="F6" s="10">
        <v>4.53</v>
      </c>
      <c r="I6" s="95" t="s">
        <v>446</v>
      </c>
      <c r="J6" s="96"/>
      <c r="K6" s="97">
        <f>G18+E200</f>
        <v>18118.330000000002</v>
      </c>
      <c r="L6" s="98"/>
    </row>
    <row r="7" spans="2:14" ht="16.5" thickBot="1" x14ac:dyDescent="0.3">
      <c r="I7" s="99" t="s">
        <v>6</v>
      </c>
      <c r="J7" s="100"/>
      <c r="K7" s="101">
        <f>SUM(E62:E174)</f>
        <v>244293.15999999995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1700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2220</v>
      </c>
      <c r="D10" s="19" t="s">
        <v>471</v>
      </c>
      <c r="E10" s="49">
        <v>275.87</v>
      </c>
      <c r="F10" s="20" t="s">
        <v>9</v>
      </c>
      <c r="G10" s="21">
        <v>18118.330000000002</v>
      </c>
      <c r="H10" s="6"/>
      <c r="I10" s="180" t="s">
        <v>830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5970</v>
      </c>
      <c r="D11" s="22"/>
      <c r="E11" s="50"/>
      <c r="F11" s="23" t="s">
        <v>454</v>
      </c>
      <c r="G11" s="24"/>
      <c r="H11" s="6"/>
      <c r="I11" s="140" t="s">
        <v>831</v>
      </c>
      <c r="J11" s="141"/>
      <c r="K11" s="142"/>
      <c r="L11" s="21">
        <v>80</v>
      </c>
    </row>
    <row r="12" spans="2:14" ht="21.6" customHeight="1" x14ac:dyDescent="0.25">
      <c r="B12" s="17"/>
      <c r="C12" s="18"/>
      <c r="D12" s="22"/>
      <c r="E12" s="50"/>
      <c r="F12" s="23"/>
      <c r="G12" s="24"/>
      <c r="H12" s="6"/>
      <c r="I12" s="140" t="s">
        <v>832</v>
      </c>
      <c r="J12" s="141"/>
      <c r="K12" s="142"/>
      <c r="L12" s="21">
        <v>170</v>
      </c>
    </row>
    <row r="13" spans="2:14" ht="21.6" customHeight="1" x14ac:dyDescent="0.25">
      <c r="B13" s="17"/>
      <c r="C13" s="18"/>
      <c r="D13" s="22"/>
      <c r="E13" s="50"/>
      <c r="F13" s="23"/>
      <c r="G13" s="24"/>
      <c r="H13" s="6"/>
      <c r="I13" s="140" t="s">
        <v>833</v>
      </c>
      <c r="J13" s="141"/>
      <c r="K13" s="142"/>
      <c r="L13" s="21">
        <v>141</v>
      </c>
    </row>
    <row r="14" spans="2:14" ht="21.6" customHeight="1" x14ac:dyDescent="0.25">
      <c r="B14" s="17"/>
      <c r="C14" s="18"/>
      <c r="D14" s="22"/>
      <c r="E14" s="50"/>
      <c r="F14" s="23"/>
      <c r="G14" s="24"/>
      <c r="H14" s="6"/>
      <c r="I14" s="140" t="s">
        <v>834</v>
      </c>
      <c r="J14" s="141"/>
      <c r="K14" s="142"/>
      <c r="L14" s="21">
        <v>720</v>
      </c>
    </row>
    <row r="15" spans="2:14" ht="21.6" customHeight="1" x14ac:dyDescent="0.25">
      <c r="B15" s="17" t="s">
        <v>455</v>
      </c>
      <c r="C15" s="18">
        <v>190</v>
      </c>
      <c r="D15" s="22"/>
      <c r="E15" s="50"/>
      <c r="F15" s="23"/>
      <c r="G15" s="24"/>
      <c r="H15" s="6"/>
      <c r="I15" s="183" t="s">
        <v>546</v>
      </c>
      <c r="J15" s="184"/>
      <c r="K15" s="185"/>
      <c r="L15" s="84">
        <v>200</v>
      </c>
    </row>
    <row r="16" spans="2:14" ht="23.1" customHeight="1" x14ac:dyDescent="0.25">
      <c r="B16" s="17" t="s">
        <v>10</v>
      </c>
      <c r="C16" s="18"/>
      <c r="D16" s="22"/>
      <c r="E16" s="50"/>
      <c r="F16" s="23"/>
      <c r="G16" s="24"/>
      <c r="H16" s="6"/>
      <c r="I16" s="183" t="s">
        <v>835</v>
      </c>
      <c r="J16" s="184"/>
      <c r="K16" s="185"/>
      <c r="L16" s="84">
        <v>80</v>
      </c>
    </row>
    <row r="17" spans="1:12" ht="23.85" customHeight="1" x14ac:dyDescent="0.25">
      <c r="B17" s="25" t="s">
        <v>11</v>
      </c>
      <c r="C17" s="18">
        <f>SUM(C9:C16)</f>
        <v>10080</v>
      </c>
      <c r="D17" s="22"/>
      <c r="E17" s="50"/>
      <c r="F17" s="23"/>
      <c r="G17" s="24"/>
      <c r="H17" s="6"/>
      <c r="I17" s="140" t="s">
        <v>836</v>
      </c>
      <c r="J17" s="141"/>
      <c r="K17" s="142"/>
      <c r="L17" s="24">
        <v>390</v>
      </c>
    </row>
    <row r="18" spans="1:12" ht="24.6" customHeight="1" thickBot="1" x14ac:dyDescent="0.3">
      <c r="B18" s="26" t="s">
        <v>456</v>
      </c>
      <c r="C18" s="27">
        <v>317</v>
      </c>
      <c r="D18" s="28" t="s">
        <v>11</v>
      </c>
      <c r="E18" s="29">
        <f>SUM(E10:E17)</f>
        <v>275.87</v>
      </c>
      <c r="F18" s="30" t="s">
        <v>11</v>
      </c>
      <c r="G18" s="31">
        <f>SUM(G10:G17)</f>
        <v>18118.330000000002</v>
      </c>
      <c r="H18" s="6"/>
      <c r="I18" s="116" t="s">
        <v>457</v>
      </c>
      <c r="J18" s="117"/>
      <c r="K18" s="118"/>
      <c r="L18" s="32">
        <f>C18-'13'!C15</f>
        <v>-57</v>
      </c>
    </row>
    <row r="19" spans="1:12" ht="16.5" thickBot="1" x14ac:dyDescent="0.3">
      <c r="D19" s="33"/>
      <c r="E19" s="33"/>
      <c r="F19" s="6"/>
      <c r="G19" s="6"/>
      <c r="I19" s="2"/>
      <c r="J19" s="2"/>
      <c r="K19" s="34" t="s">
        <v>11</v>
      </c>
      <c r="L19" s="35">
        <f>(SUM(L10:L18))*-1</f>
        <v>-1804</v>
      </c>
    </row>
    <row r="20" spans="1:12" ht="16.5" thickBot="1" x14ac:dyDescent="0.3"/>
    <row r="21" spans="1:12" ht="16.5" thickBot="1" x14ac:dyDescent="0.3">
      <c r="A21" s="119" t="s">
        <v>12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1"/>
    </row>
    <row r="22" spans="1:12" ht="16.5" thickBot="1" x14ac:dyDescent="0.3">
      <c r="A22" s="73" t="s">
        <v>458</v>
      </c>
      <c r="B22" s="122" t="s">
        <v>459</v>
      </c>
      <c r="C22" s="123"/>
      <c r="D22" s="124"/>
      <c r="E22" s="36" t="s">
        <v>8</v>
      </c>
      <c r="F22" s="37" t="s">
        <v>13</v>
      </c>
      <c r="G22" s="38" t="s">
        <v>14</v>
      </c>
      <c r="H22" s="125" t="s">
        <v>15</v>
      </c>
      <c r="I22" s="126"/>
      <c r="J22" s="126"/>
      <c r="K22" s="127"/>
      <c r="L22" s="39" t="s">
        <v>16</v>
      </c>
    </row>
    <row r="23" spans="1:12" x14ac:dyDescent="0.25">
      <c r="A23" s="17" t="s">
        <v>364</v>
      </c>
      <c r="B23" s="143" t="s">
        <v>590</v>
      </c>
      <c r="C23" s="144"/>
      <c r="D23" s="158"/>
      <c r="E23" s="20">
        <v>322.51</v>
      </c>
      <c r="F23" s="12" t="s">
        <v>242</v>
      </c>
      <c r="G23" s="51">
        <v>76</v>
      </c>
      <c r="H23" s="131"/>
      <c r="I23" s="132"/>
      <c r="J23" s="132"/>
      <c r="K23" s="133"/>
      <c r="L23" s="20" t="s">
        <v>71</v>
      </c>
    </row>
    <row r="24" spans="1:12" x14ac:dyDescent="0.25">
      <c r="A24" s="17" t="s">
        <v>366</v>
      </c>
      <c r="B24" s="143" t="s">
        <v>837</v>
      </c>
      <c r="C24" s="144"/>
      <c r="D24" s="158"/>
      <c r="E24" s="20">
        <v>1725.63</v>
      </c>
      <c r="F24" s="23" t="s">
        <v>248</v>
      </c>
      <c r="G24" s="52">
        <v>3044072</v>
      </c>
      <c r="H24" s="146"/>
      <c r="I24" s="147"/>
      <c r="J24" s="147"/>
      <c r="K24" s="148"/>
      <c r="L24" s="23" t="s">
        <v>71</v>
      </c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23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23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23"/>
    </row>
    <row r="37" spans="1:12" x14ac:dyDescent="0.25">
      <c r="A37" s="66"/>
      <c r="B37" s="143"/>
      <c r="C37" s="144"/>
      <c r="D37" s="145"/>
      <c r="E37" s="20"/>
      <c r="F37" s="23"/>
      <c r="G37" s="52"/>
      <c r="H37" s="146"/>
      <c r="I37" s="147"/>
      <c r="J37" s="147"/>
      <c r="K37" s="148"/>
      <c r="L37" s="17"/>
    </row>
    <row r="38" spans="1:12" x14ac:dyDescent="0.25">
      <c r="A38" s="66"/>
      <c r="B38" s="143"/>
      <c r="C38" s="144"/>
      <c r="D38" s="145"/>
      <c r="E38" s="20"/>
      <c r="F38" s="23"/>
      <c r="G38" s="52"/>
      <c r="H38" s="146"/>
      <c r="I38" s="147"/>
      <c r="J38" s="147"/>
      <c r="K38" s="148"/>
      <c r="L38" s="17"/>
    </row>
    <row r="39" spans="1:12" x14ac:dyDescent="0.25">
      <c r="A39" s="66"/>
      <c r="B39" s="143"/>
      <c r="C39" s="144"/>
      <c r="D39" s="145"/>
      <c r="E39" s="20"/>
      <c r="F39" s="23"/>
      <c r="G39" s="52"/>
      <c r="H39" s="146"/>
      <c r="I39" s="147"/>
      <c r="J39" s="147"/>
      <c r="K39" s="148"/>
      <c r="L39" s="17"/>
    </row>
    <row r="40" spans="1:12" ht="16.5" thickBot="1" x14ac:dyDescent="0.3">
      <c r="A40" s="66"/>
      <c r="B40" s="149"/>
      <c r="C40" s="150"/>
      <c r="D40" s="151"/>
      <c r="E40" s="20"/>
      <c r="F40" s="29"/>
      <c r="G40" s="53"/>
      <c r="H40" s="152"/>
      <c r="I40" s="153"/>
      <c r="J40" s="153"/>
      <c r="K40" s="154"/>
      <c r="L40" s="29"/>
    </row>
    <row r="41" spans="1:12" ht="16.5" thickBot="1" x14ac:dyDescent="0.3">
      <c r="A41" s="72" t="s">
        <v>458</v>
      </c>
      <c r="B41" s="155" t="s">
        <v>460</v>
      </c>
      <c r="C41" s="156"/>
      <c r="D41" s="157"/>
      <c r="E41" s="36" t="s">
        <v>8</v>
      </c>
      <c r="F41" s="119" t="s">
        <v>15</v>
      </c>
      <c r="G41" s="120"/>
      <c r="H41" s="120"/>
      <c r="I41" s="120"/>
      <c r="J41" s="120"/>
      <c r="K41" s="121"/>
      <c r="L41" s="40" t="s">
        <v>16</v>
      </c>
    </row>
    <row r="42" spans="1:12" x14ac:dyDescent="0.25">
      <c r="A42" s="66" t="s">
        <v>377</v>
      </c>
      <c r="B42" s="128" t="s">
        <v>378</v>
      </c>
      <c r="C42" s="129"/>
      <c r="D42" s="162"/>
      <c r="E42" s="41">
        <v>94.53</v>
      </c>
      <c r="F42" s="163" t="s">
        <v>638</v>
      </c>
      <c r="G42" s="164"/>
      <c r="H42" s="164"/>
      <c r="I42" s="164"/>
      <c r="J42" s="164"/>
      <c r="K42" s="165"/>
      <c r="L42" s="42" t="s">
        <v>71</v>
      </c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17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x14ac:dyDescent="0.25">
      <c r="A47" s="66"/>
      <c r="B47" s="143"/>
      <c r="C47" s="144"/>
      <c r="D47" s="158"/>
      <c r="E47" s="43"/>
      <c r="F47" s="159"/>
      <c r="G47" s="160"/>
      <c r="H47" s="160"/>
      <c r="I47" s="160"/>
      <c r="J47" s="160"/>
      <c r="K47" s="161"/>
      <c r="L47" s="23"/>
    </row>
    <row r="48" spans="1:12" x14ac:dyDescent="0.25">
      <c r="A48" s="66"/>
      <c r="B48" s="143"/>
      <c r="C48" s="144"/>
      <c r="D48" s="158"/>
      <c r="E48" s="43"/>
      <c r="F48" s="159"/>
      <c r="G48" s="160"/>
      <c r="H48" s="160"/>
      <c r="I48" s="160"/>
      <c r="J48" s="160"/>
      <c r="K48" s="161"/>
      <c r="L48" s="23"/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3"/>
    </row>
    <row r="50" spans="1:12" ht="16.5" thickBot="1" x14ac:dyDescent="0.3">
      <c r="A50" s="66"/>
      <c r="B50" s="149"/>
      <c r="C50" s="150"/>
      <c r="D50" s="169"/>
      <c r="E50" s="43"/>
      <c r="F50" s="170"/>
      <c r="G50" s="171"/>
      <c r="H50" s="171"/>
      <c r="I50" s="171"/>
      <c r="J50" s="171"/>
      <c r="K50" s="172"/>
      <c r="L50" s="44"/>
    </row>
    <row r="51" spans="1:12" ht="16.5" thickBot="1" x14ac:dyDescent="0.3">
      <c r="A51" s="71" t="s">
        <v>458</v>
      </c>
      <c r="B51" s="166" t="s">
        <v>461</v>
      </c>
      <c r="C51" s="167"/>
      <c r="D51" s="168"/>
      <c r="E51" s="36" t="s">
        <v>8</v>
      </c>
      <c r="F51" s="119" t="s">
        <v>15</v>
      </c>
      <c r="G51" s="120"/>
      <c r="H51" s="120"/>
      <c r="I51" s="120"/>
      <c r="J51" s="120"/>
      <c r="K51" s="121"/>
      <c r="L51" s="39" t="s">
        <v>16</v>
      </c>
    </row>
    <row r="52" spans="1:12" x14ac:dyDescent="0.25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x14ac:dyDescent="0.25">
      <c r="A53" s="66"/>
      <c r="B53" s="143"/>
      <c r="C53" s="144"/>
      <c r="D53" s="158"/>
      <c r="E53" s="43"/>
      <c r="F53" s="159"/>
      <c r="G53" s="160"/>
      <c r="H53" s="160"/>
      <c r="I53" s="160"/>
      <c r="J53" s="160"/>
      <c r="K53" s="161"/>
      <c r="L53" s="20"/>
    </row>
    <row r="54" spans="1:12" x14ac:dyDescent="0.25">
      <c r="A54" s="66"/>
      <c r="B54" s="143"/>
      <c r="C54" s="144"/>
      <c r="D54" s="158"/>
      <c r="E54" s="43"/>
      <c r="F54" s="159"/>
      <c r="G54" s="160"/>
      <c r="H54" s="160"/>
      <c r="I54" s="160"/>
      <c r="J54" s="160"/>
      <c r="K54" s="161"/>
      <c r="L54" s="20"/>
    </row>
    <row r="55" spans="1:12" ht="16.5" thickBot="1" x14ac:dyDescent="0.3">
      <c r="A55" s="66"/>
      <c r="B55" s="143"/>
      <c r="C55" s="144"/>
      <c r="D55" s="158"/>
      <c r="E55" s="43"/>
      <c r="F55" s="159"/>
      <c r="G55" s="160"/>
      <c r="H55" s="160"/>
      <c r="I55" s="160"/>
      <c r="J55" s="160"/>
      <c r="K55" s="161"/>
      <c r="L55" s="20"/>
    </row>
    <row r="56" spans="1:12" ht="16.5" thickBot="1" x14ac:dyDescent="0.3">
      <c r="A56" s="71" t="s">
        <v>458</v>
      </c>
      <c r="B56" s="166" t="s">
        <v>462</v>
      </c>
      <c r="C56" s="167"/>
      <c r="D56" s="168"/>
      <c r="E56" s="36" t="s">
        <v>8</v>
      </c>
      <c r="F56" s="119" t="s">
        <v>15</v>
      </c>
      <c r="G56" s="120"/>
      <c r="H56" s="120"/>
      <c r="I56" s="120"/>
      <c r="J56" s="120"/>
      <c r="K56" s="121"/>
      <c r="L56" s="39" t="s">
        <v>16</v>
      </c>
    </row>
    <row r="57" spans="1:12" x14ac:dyDescent="0.25">
      <c r="A57" s="66"/>
      <c r="B57" s="143"/>
      <c r="C57" s="144">
        <v>802.36</v>
      </c>
      <c r="D57" s="158" t="s">
        <v>18</v>
      </c>
      <c r="E57" s="43"/>
      <c r="F57" s="163"/>
      <c r="G57" s="164"/>
      <c r="H57" s="164"/>
      <c r="I57" s="164"/>
      <c r="J57" s="164"/>
      <c r="K57" s="165"/>
      <c r="L57" s="20"/>
    </row>
    <row r="58" spans="1:12" x14ac:dyDescent="0.25">
      <c r="A58" s="66"/>
      <c r="B58" s="143"/>
      <c r="C58" s="144">
        <v>675.28</v>
      </c>
      <c r="D58" s="158" t="s">
        <v>19</v>
      </c>
      <c r="E58" s="43"/>
      <c r="F58" s="159"/>
      <c r="G58" s="160"/>
      <c r="H58" s="160"/>
      <c r="I58" s="160"/>
      <c r="J58" s="160"/>
      <c r="K58" s="161"/>
      <c r="L58" s="23"/>
    </row>
    <row r="59" spans="1:12" x14ac:dyDescent="0.25">
      <c r="A59" s="66"/>
      <c r="B59" s="143"/>
      <c r="C59" s="144">
        <v>689.72</v>
      </c>
      <c r="D59" s="158" t="s">
        <v>19</v>
      </c>
      <c r="E59" s="43"/>
      <c r="F59" s="159"/>
      <c r="G59" s="160"/>
      <c r="H59" s="160"/>
      <c r="I59" s="160"/>
      <c r="J59" s="160"/>
      <c r="K59" s="161"/>
      <c r="L59" s="23"/>
    </row>
    <row r="60" spans="1:12" ht="16.5" thickBot="1" x14ac:dyDescent="0.3">
      <c r="A60" s="66"/>
      <c r="B60" s="143"/>
      <c r="C60" s="144">
        <v>340.26</v>
      </c>
      <c r="D60" s="158" t="s">
        <v>20</v>
      </c>
      <c r="E60" s="43"/>
      <c r="F60" s="159"/>
      <c r="G60" s="160"/>
      <c r="H60" s="160"/>
      <c r="I60" s="160"/>
      <c r="J60" s="160"/>
      <c r="K60" s="161"/>
      <c r="L60" s="23"/>
    </row>
    <row r="61" spans="1:12" ht="16.5" thickBot="1" x14ac:dyDescent="0.3">
      <c r="A61" s="71" t="s">
        <v>458</v>
      </c>
      <c r="B61" s="166" t="s">
        <v>17</v>
      </c>
      <c r="C61" s="167"/>
      <c r="D61" s="168"/>
      <c r="E61" s="36" t="s">
        <v>8</v>
      </c>
      <c r="F61" s="119" t="s">
        <v>15</v>
      </c>
      <c r="G61" s="120"/>
      <c r="H61" s="120"/>
      <c r="I61" s="120"/>
      <c r="J61" s="120"/>
      <c r="K61" s="121"/>
      <c r="L61" s="39" t="s">
        <v>16</v>
      </c>
    </row>
    <row r="62" spans="1:12" x14ac:dyDescent="0.25">
      <c r="A62" s="66"/>
      <c r="B62" s="128" t="s">
        <v>166</v>
      </c>
      <c r="C62" s="129"/>
      <c r="D62" s="162"/>
      <c r="E62" s="43">
        <v>284.5</v>
      </c>
      <c r="F62" s="163"/>
      <c r="G62" s="164"/>
      <c r="H62" s="164"/>
      <c r="I62" s="164"/>
      <c r="J62" s="164"/>
      <c r="K62" s="165"/>
      <c r="L62" s="23" t="s">
        <v>33</v>
      </c>
    </row>
    <row r="63" spans="1:12" x14ac:dyDescent="0.25">
      <c r="A63" s="66"/>
      <c r="B63" s="143" t="s">
        <v>736</v>
      </c>
      <c r="C63" s="144"/>
      <c r="D63" s="158"/>
      <c r="E63" s="43">
        <v>125.96</v>
      </c>
      <c r="F63" s="159"/>
      <c r="G63" s="160"/>
      <c r="H63" s="160"/>
      <c r="I63" s="160"/>
      <c r="J63" s="160"/>
      <c r="K63" s="161"/>
      <c r="L63" s="23" t="s">
        <v>33</v>
      </c>
    </row>
    <row r="64" spans="1:12" x14ac:dyDescent="0.25">
      <c r="A64" s="66"/>
      <c r="B64" s="143" t="s">
        <v>872</v>
      </c>
      <c r="C64" s="144"/>
      <c r="D64" s="158"/>
      <c r="E64" s="43">
        <v>232.63</v>
      </c>
      <c r="F64" s="159"/>
      <c r="G64" s="160"/>
      <c r="H64" s="160"/>
      <c r="I64" s="160"/>
      <c r="J64" s="160"/>
      <c r="K64" s="161"/>
      <c r="L64" s="23" t="s">
        <v>33</v>
      </c>
    </row>
    <row r="65" spans="1:12" x14ac:dyDescent="0.25">
      <c r="A65" s="66"/>
      <c r="B65" s="143" t="s">
        <v>771</v>
      </c>
      <c r="C65" s="144"/>
      <c r="D65" s="158"/>
      <c r="E65" s="43">
        <v>315.68</v>
      </c>
      <c r="F65" s="159"/>
      <c r="G65" s="160"/>
      <c r="H65" s="160"/>
      <c r="I65" s="160"/>
      <c r="J65" s="160"/>
      <c r="K65" s="161"/>
      <c r="L65" s="23" t="s">
        <v>33</v>
      </c>
    </row>
    <row r="66" spans="1:12" x14ac:dyDescent="0.25">
      <c r="A66" s="66"/>
      <c r="B66" s="143" t="s">
        <v>873</v>
      </c>
      <c r="C66" s="144"/>
      <c r="D66" s="158"/>
      <c r="E66" s="43">
        <v>316.87</v>
      </c>
      <c r="F66" s="159"/>
      <c r="G66" s="160"/>
      <c r="H66" s="160"/>
      <c r="I66" s="160"/>
      <c r="J66" s="160"/>
      <c r="K66" s="161"/>
      <c r="L66" s="23" t="s">
        <v>33</v>
      </c>
    </row>
    <row r="67" spans="1:12" x14ac:dyDescent="0.25">
      <c r="A67" s="66"/>
      <c r="B67" s="143" t="s">
        <v>874</v>
      </c>
      <c r="C67" s="144"/>
      <c r="D67" s="158"/>
      <c r="E67" s="43">
        <v>737.29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66"/>
      <c r="B68" s="143" t="s">
        <v>788</v>
      </c>
      <c r="C68" s="144"/>
      <c r="D68" s="158"/>
      <c r="E68" s="43">
        <v>1047.27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66"/>
      <c r="B69" s="143" t="s">
        <v>875</v>
      </c>
      <c r="C69" s="144"/>
      <c r="D69" s="158"/>
      <c r="E69" s="43">
        <v>438.66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66"/>
      <c r="B70" s="143" t="s">
        <v>876</v>
      </c>
      <c r="C70" s="144"/>
      <c r="D70" s="158"/>
      <c r="E70" s="43">
        <v>1513.48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66"/>
      <c r="B71" s="143" t="s">
        <v>877</v>
      </c>
      <c r="C71" s="144"/>
      <c r="D71" s="158"/>
      <c r="E71" s="43">
        <v>1166.97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66"/>
      <c r="B72" s="143" t="s">
        <v>878</v>
      </c>
      <c r="C72" s="144"/>
      <c r="D72" s="158"/>
      <c r="E72" s="43">
        <v>338.9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66"/>
      <c r="B73" s="143" t="s">
        <v>79</v>
      </c>
      <c r="C73" s="144"/>
      <c r="D73" s="158"/>
      <c r="E73" s="43">
        <v>414.54</v>
      </c>
      <c r="F73" s="159"/>
      <c r="G73" s="160"/>
      <c r="H73" s="160"/>
      <c r="I73" s="160"/>
      <c r="J73" s="160"/>
      <c r="K73" s="161"/>
      <c r="L73" s="23" t="s">
        <v>33</v>
      </c>
    </row>
    <row r="74" spans="1:12" x14ac:dyDescent="0.25">
      <c r="A74" s="66"/>
      <c r="B74" s="143" t="s">
        <v>879</v>
      </c>
      <c r="C74" s="144"/>
      <c r="D74" s="158"/>
      <c r="E74" s="43">
        <v>320.93</v>
      </c>
      <c r="F74" s="159"/>
      <c r="G74" s="160"/>
      <c r="H74" s="160"/>
      <c r="I74" s="160"/>
      <c r="J74" s="160"/>
      <c r="K74" s="161"/>
      <c r="L74" s="23" t="s">
        <v>33</v>
      </c>
    </row>
    <row r="75" spans="1:12" x14ac:dyDescent="0.25">
      <c r="A75" s="66"/>
      <c r="B75" s="143" t="s">
        <v>880</v>
      </c>
      <c r="C75" s="144"/>
      <c r="D75" s="158"/>
      <c r="E75" s="43">
        <v>354.48</v>
      </c>
      <c r="F75" s="159"/>
      <c r="G75" s="160"/>
      <c r="H75" s="160"/>
      <c r="I75" s="160"/>
      <c r="J75" s="160"/>
      <c r="K75" s="161"/>
      <c r="L75" s="23" t="s">
        <v>33</v>
      </c>
    </row>
    <row r="76" spans="1:12" x14ac:dyDescent="0.25">
      <c r="A76" s="66"/>
      <c r="B76" s="143" t="s">
        <v>881</v>
      </c>
      <c r="C76" s="144"/>
      <c r="D76" s="158"/>
      <c r="E76" s="43">
        <v>1052.8900000000001</v>
      </c>
      <c r="F76" s="159"/>
      <c r="G76" s="160"/>
      <c r="H76" s="160"/>
      <c r="I76" s="160"/>
      <c r="J76" s="160"/>
      <c r="K76" s="161"/>
      <c r="L76" s="23" t="s">
        <v>33</v>
      </c>
    </row>
    <row r="77" spans="1:12" x14ac:dyDescent="0.25">
      <c r="A77" s="66"/>
      <c r="B77" s="143" t="s">
        <v>736</v>
      </c>
      <c r="C77" s="144"/>
      <c r="D77" s="158"/>
      <c r="E77" s="43">
        <v>484.56</v>
      </c>
      <c r="F77" s="159"/>
      <c r="G77" s="160"/>
      <c r="H77" s="160"/>
      <c r="I77" s="160"/>
      <c r="J77" s="160"/>
      <c r="K77" s="161"/>
      <c r="L77" s="23" t="s">
        <v>33</v>
      </c>
    </row>
    <row r="78" spans="1:12" x14ac:dyDescent="0.25">
      <c r="A78" s="66"/>
      <c r="B78" s="143" t="s">
        <v>882</v>
      </c>
      <c r="C78" s="144"/>
      <c r="D78" s="158"/>
      <c r="E78" s="43">
        <v>1305.99</v>
      </c>
      <c r="F78" s="159"/>
      <c r="G78" s="160"/>
      <c r="H78" s="160"/>
      <c r="I78" s="160"/>
      <c r="J78" s="160"/>
      <c r="K78" s="161"/>
      <c r="L78" s="23" t="s">
        <v>33</v>
      </c>
    </row>
    <row r="79" spans="1:12" x14ac:dyDescent="0.25">
      <c r="A79" s="66"/>
      <c r="B79" s="143" t="s">
        <v>805</v>
      </c>
      <c r="C79" s="144"/>
      <c r="D79" s="158"/>
      <c r="E79" s="43">
        <v>926.95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66"/>
      <c r="B80" s="143" t="s">
        <v>746</v>
      </c>
      <c r="C80" s="144"/>
      <c r="D80" s="158"/>
      <c r="E80" s="43">
        <v>296.52999999999997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66"/>
      <c r="B81" s="143" t="s">
        <v>784</v>
      </c>
      <c r="C81" s="144"/>
      <c r="D81" s="158"/>
      <c r="E81" s="43">
        <v>426.61</v>
      </c>
      <c r="F81" s="159"/>
      <c r="G81" s="160"/>
      <c r="H81" s="160"/>
      <c r="I81" s="160"/>
      <c r="J81" s="160"/>
      <c r="K81" s="161"/>
      <c r="L81" s="23" t="s">
        <v>33</v>
      </c>
    </row>
    <row r="82" spans="1:12" x14ac:dyDescent="0.25">
      <c r="A82" s="66"/>
      <c r="B82" s="143" t="s">
        <v>729</v>
      </c>
      <c r="C82" s="144"/>
      <c r="D82" s="158"/>
      <c r="E82" s="43">
        <v>731.89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66"/>
      <c r="B83" s="143" t="s">
        <v>883</v>
      </c>
      <c r="C83" s="144"/>
      <c r="D83" s="158"/>
      <c r="E83" s="43">
        <v>177.68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66"/>
      <c r="B84" s="143" t="s">
        <v>884</v>
      </c>
      <c r="C84" s="144"/>
      <c r="D84" s="158"/>
      <c r="E84" s="43">
        <v>1171.68</v>
      </c>
      <c r="F84" s="159"/>
      <c r="G84" s="160"/>
      <c r="H84" s="160"/>
      <c r="I84" s="160"/>
      <c r="J84" s="160"/>
      <c r="K84" s="161"/>
      <c r="L84" s="23" t="s">
        <v>33</v>
      </c>
    </row>
    <row r="85" spans="1:12" x14ac:dyDescent="0.25">
      <c r="A85" s="66"/>
      <c r="B85" s="143" t="s">
        <v>765</v>
      </c>
      <c r="C85" s="144"/>
      <c r="D85" s="158"/>
      <c r="E85" s="43">
        <v>372.02</v>
      </c>
      <c r="F85" s="159"/>
      <c r="G85" s="160"/>
      <c r="H85" s="160"/>
      <c r="I85" s="160"/>
      <c r="J85" s="160"/>
      <c r="K85" s="161"/>
      <c r="L85" s="23" t="s">
        <v>33</v>
      </c>
    </row>
    <row r="86" spans="1:12" x14ac:dyDescent="0.25">
      <c r="A86" s="66"/>
      <c r="B86" s="143" t="s">
        <v>885</v>
      </c>
      <c r="C86" s="144"/>
      <c r="D86" s="158"/>
      <c r="E86" s="43">
        <v>3930.19</v>
      </c>
      <c r="F86" s="159"/>
      <c r="G86" s="160"/>
      <c r="H86" s="160"/>
      <c r="I86" s="160"/>
      <c r="J86" s="160"/>
      <c r="K86" s="161"/>
      <c r="L86" s="23" t="s">
        <v>33</v>
      </c>
    </row>
    <row r="87" spans="1:12" x14ac:dyDescent="0.25">
      <c r="A87" s="66"/>
      <c r="B87" s="143" t="s">
        <v>886</v>
      </c>
      <c r="C87" s="144"/>
      <c r="D87" s="158"/>
      <c r="E87" s="43">
        <v>251.89</v>
      </c>
      <c r="F87" s="159"/>
      <c r="G87" s="160"/>
      <c r="H87" s="160"/>
      <c r="I87" s="160"/>
      <c r="J87" s="160"/>
      <c r="K87" s="161"/>
      <c r="L87" s="23" t="s">
        <v>33</v>
      </c>
    </row>
    <row r="88" spans="1:12" x14ac:dyDescent="0.25">
      <c r="A88" s="66"/>
      <c r="B88" s="143" t="s">
        <v>776</v>
      </c>
      <c r="C88" s="144"/>
      <c r="D88" s="158"/>
      <c r="E88" s="43">
        <v>15655.62</v>
      </c>
      <c r="F88" s="159"/>
      <c r="G88" s="160"/>
      <c r="H88" s="160"/>
      <c r="I88" s="160"/>
      <c r="J88" s="160"/>
      <c r="K88" s="161"/>
      <c r="L88" s="23" t="s">
        <v>33</v>
      </c>
    </row>
    <row r="89" spans="1:12" x14ac:dyDescent="0.25">
      <c r="A89" s="66"/>
      <c r="B89" s="143" t="s">
        <v>887</v>
      </c>
      <c r="C89" s="144"/>
      <c r="D89" s="158"/>
      <c r="E89" s="43">
        <v>2595.41</v>
      </c>
      <c r="F89" s="159"/>
      <c r="G89" s="160"/>
      <c r="H89" s="160"/>
      <c r="I89" s="160"/>
      <c r="J89" s="160"/>
      <c r="K89" s="161"/>
      <c r="L89" s="23" t="s">
        <v>33</v>
      </c>
    </row>
    <row r="90" spans="1:12" x14ac:dyDescent="0.25">
      <c r="A90" s="66"/>
      <c r="B90" s="143" t="s">
        <v>732</v>
      </c>
      <c r="C90" s="144"/>
      <c r="D90" s="158"/>
      <c r="E90" s="43">
        <v>407.06</v>
      </c>
      <c r="F90" s="159"/>
      <c r="G90" s="160"/>
      <c r="H90" s="160"/>
      <c r="I90" s="160"/>
      <c r="J90" s="160"/>
      <c r="K90" s="161"/>
      <c r="L90" s="23" t="s">
        <v>33</v>
      </c>
    </row>
    <row r="91" spans="1:12" x14ac:dyDescent="0.25">
      <c r="A91" s="66"/>
      <c r="B91" s="143" t="s">
        <v>747</v>
      </c>
      <c r="C91" s="144"/>
      <c r="D91" s="158"/>
      <c r="E91" s="43">
        <v>9878.91</v>
      </c>
      <c r="F91" s="159"/>
      <c r="G91" s="160"/>
      <c r="H91" s="160"/>
      <c r="I91" s="160"/>
      <c r="J91" s="160"/>
      <c r="K91" s="161"/>
      <c r="L91" s="23" t="s">
        <v>33</v>
      </c>
    </row>
    <row r="92" spans="1:12" x14ac:dyDescent="0.25">
      <c r="A92" s="66"/>
      <c r="B92" s="143" t="s">
        <v>888</v>
      </c>
      <c r="C92" s="144"/>
      <c r="D92" s="158"/>
      <c r="E92" s="43">
        <v>1186.95</v>
      </c>
      <c r="F92" s="159"/>
      <c r="G92" s="160"/>
      <c r="H92" s="160"/>
      <c r="I92" s="160"/>
      <c r="J92" s="160"/>
      <c r="K92" s="161"/>
      <c r="L92" s="23" t="s">
        <v>33</v>
      </c>
    </row>
    <row r="93" spans="1:12" x14ac:dyDescent="0.25">
      <c r="A93" s="66"/>
      <c r="B93" s="143" t="s">
        <v>889</v>
      </c>
      <c r="C93" s="144"/>
      <c r="D93" s="158"/>
      <c r="E93" s="43">
        <v>224.81</v>
      </c>
      <c r="F93" s="159"/>
      <c r="G93" s="160"/>
      <c r="H93" s="160"/>
      <c r="I93" s="160"/>
      <c r="J93" s="160"/>
      <c r="K93" s="161"/>
      <c r="L93" s="23" t="s">
        <v>33</v>
      </c>
    </row>
    <row r="94" spans="1:12" x14ac:dyDescent="0.25">
      <c r="A94" s="66"/>
      <c r="B94" s="143" t="s">
        <v>651</v>
      </c>
      <c r="C94" s="144"/>
      <c r="D94" s="158"/>
      <c r="E94" s="43">
        <v>2219.83</v>
      </c>
      <c r="F94" s="159"/>
      <c r="G94" s="160"/>
      <c r="H94" s="160"/>
      <c r="I94" s="160"/>
      <c r="J94" s="160"/>
      <c r="K94" s="161"/>
      <c r="L94" s="23" t="s">
        <v>33</v>
      </c>
    </row>
    <row r="95" spans="1:12" x14ac:dyDescent="0.25">
      <c r="A95" s="66"/>
      <c r="B95" s="143" t="s">
        <v>890</v>
      </c>
      <c r="C95" s="144"/>
      <c r="D95" s="158"/>
      <c r="E95" s="43">
        <v>312.95</v>
      </c>
      <c r="F95" s="159"/>
      <c r="G95" s="160"/>
      <c r="H95" s="160"/>
      <c r="I95" s="160"/>
      <c r="J95" s="160"/>
      <c r="K95" s="161"/>
      <c r="L95" s="23" t="s">
        <v>33</v>
      </c>
    </row>
    <row r="96" spans="1:12" x14ac:dyDescent="0.25">
      <c r="A96" s="66"/>
      <c r="B96" s="143" t="s">
        <v>891</v>
      </c>
      <c r="C96" s="144"/>
      <c r="D96" s="158"/>
      <c r="E96" s="43">
        <v>405.87</v>
      </c>
      <c r="F96" s="159"/>
      <c r="G96" s="160"/>
      <c r="H96" s="160"/>
      <c r="I96" s="160"/>
      <c r="J96" s="160"/>
      <c r="K96" s="161"/>
      <c r="L96" s="23" t="s">
        <v>33</v>
      </c>
    </row>
    <row r="97" spans="1:12" x14ac:dyDescent="0.25">
      <c r="A97" s="66"/>
      <c r="B97" s="143" t="s">
        <v>791</v>
      </c>
      <c r="C97" s="144"/>
      <c r="D97" s="158"/>
      <c r="E97" s="43">
        <v>338.4</v>
      </c>
      <c r="F97" s="159"/>
      <c r="G97" s="160"/>
      <c r="H97" s="160"/>
      <c r="I97" s="160"/>
      <c r="J97" s="160"/>
      <c r="K97" s="161"/>
      <c r="L97" s="23" t="s">
        <v>33</v>
      </c>
    </row>
    <row r="98" spans="1:12" x14ac:dyDescent="0.25">
      <c r="A98" s="66"/>
      <c r="B98" s="143" t="s">
        <v>892</v>
      </c>
      <c r="C98" s="144"/>
      <c r="D98" s="158"/>
      <c r="E98" s="43">
        <v>1719.48</v>
      </c>
      <c r="F98" s="159"/>
      <c r="G98" s="160"/>
      <c r="H98" s="160"/>
      <c r="I98" s="160"/>
      <c r="J98" s="160"/>
      <c r="K98" s="161"/>
      <c r="L98" s="23" t="s">
        <v>33</v>
      </c>
    </row>
    <row r="99" spans="1:12" x14ac:dyDescent="0.25">
      <c r="A99" s="66"/>
      <c r="B99" s="143" t="s">
        <v>889</v>
      </c>
      <c r="C99" s="144"/>
      <c r="D99" s="158"/>
      <c r="E99" s="43">
        <v>940.83</v>
      </c>
      <c r="F99" s="159"/>
      <c r="G99" s="160"/>
      <c r="H99" s="160"/>
      <c r="I99" s="160"/>
      <c r="J99" s="160"/>
      <c r="K99" s="161"/>
      <c r="L99" s="23" t="s">
        <v>33</v>
      </c>
    </row>
    <row r="100" spans="1:12" x14ac:dyDescent="0.25">
      <c r="A100" s="66"/>
      <c r="B100" s="143" t="s">
        <v>889</v>
      </c>
      <c r="C100" s="144"/>
      <c r="D100" s="158"/>
      <c r="E100" s="43">
        <v>753.02</v>
      </c>
      <c r="F100" s="159"/>
      <c r="G100" s="160"/>
      <c r="H100" s="160"/>
      <c r="I100" s="160"/>
      <c r="J100" s="160"/>
      <c r="K100" s="161"/>
      <c r="L100" s="23" t="s">
        <v>33</v>
      </c>
    </row>
    <row r="101" spans="1:12" x14ac:dyDescent="0.25">
      <c r="A101" s="66"/>
      <c r="B101" s="143" t="s">
        <v>169</v>
      </c>
      <c r="C101" s="144"/>
      <c r="D101" s="158"/>
      <c r="E101" s="43">
        <v>456.45</v>
      </c>
      <c r="F101" s="159"/>
      <c r="G101" s="160"/>
      <c r="H101" s="160"/>
      <c r="I101" s="160"/>
      <c r="J101" s="160"/>
      <c r="K101" s="161"/>
      <c r="L101" s="23" t="s">
        <v>33</v>
      </c>
    </row>
    <row r="102" spans="1:12" x14ac:dyDescent="0.25">
      <c r="A102" s="66"/>
      <c r="B102" s="143" t="s">
        <v>893</v>
      </c>
      <c r="C102" s="144"/>
      <c r="D102" s="158"/>
      <c r="E102" s="43">
        <v>8191.7</v>
      </c>
      <c r="F102" s="159"/>
      <c r="G102" s="160"/>
      <c r="H102" s="160"/>
      <c r="I102" s="160"/>
      <c r="J102" s="160"/>
      <c r="K102" s="161"/>
      <c r="L102" s="23" t="s">
        <v>33</v>
      </c>
    </row>
    <row r="103" spans="1:12" x14ac:dyDescent="0.25">
      <c r="A103" s="66"/>
      <c r="B103" s="143" t="s">
        <v>785</v>
      </c>
      <c r="C103" s="144"/>
      <c r="D103" s="158"/>
      <c r="E103" s="43">
        <v>816.68</v>
      </c>
      <c r="F103" s="159"/>
      <c r="G103" s="160"/>
      <c r="H103" s="160"/>
      <c r="I103" s="160"/>
      <c r="J103" s="160"/>
      <c r="K103" s="161"/>
      <c r="L103" s="23" t="s">
        <v>33</v>
      </c>
    </row>
    <row r="104" spans="1:12" x14ac:dyDescent="0.25">
      <c r="A104" s="66"/>
      <c r="B104" s="143" t="s">
        <v>894</v>
      </c>
      <c r="C104" s="144"/>
      <c r="D104" s="158"/>
      <c r="E104" s="43">
        <v>541.99</v>
      </c>
      <c r="F104" s="159"/>
      <c r="G104" s="160"/>
      <c r="H104" s="160"/>
      <c r="I104" s="160"/>
      <c r="J104" s="160"/>
      <c r="K104" s="161"/>
      <c r="L104" s="23" t="s">
        <v>33</v>
      </c>
    </row>
    <row r="105" spans="1:12" x14ac:dyDescent="0.25">
      <c r="A105" s="66"/>
      <c r="B105" s="143" t="s">
        <v>895</v>
      </c>
      <c r="C105" s="144"/>
      <c r="D105" s="158"/>
      <c r="E105" s="43">
        <v>590.27</v>
      </c>
      <c r="F105" s="159"/>
      <c r="G105" s="160"/>
      <c r="H105" s="160"/>
      <c r="I105" s="160"/>
      <c r="J105" s="160"/>
      <c r="K105" s="161"/>
      <c r="L105" s="23" t="s">
        <v>33</v>
      </c>
    </row>
    <row r="106" spans="1:12" x14ac:dyDescent="0.25">
      <c r="A106" s="66"/>
      <c r="B106" s="143" t="s">
        <v>896</v>
      </c>
      <c r="C106" s="144"/>
      <c r="D106" s="158"/>
      <c r="E106" s="43">
        <v>1082.72</v>
      </c>
      <c r="F106" s="159"/>
      <c r="G106" s="160"/>
      <c r="H106" s="160"/>
      <c r="I106" s="160"/>
      <c r="J106" s="160"/>
      <c r="K106" s="161"/>
      <c r="L106" s="23" t="s">
        <v>33</v>
      </c>
    </row>
    <row r="107" spans="1:12" x14ac:dyDescent="0.25">
      <c r="A107" s="66"/>
      <c r="B107" s="143" t="s">
        <v>556</v>
      </c>
      <c r="C107" s="144"/>
      <c r="D107" s="158"/>
      <c r="E107" s="43">
        <v>1176.99</v>
      </c>
      <c r="F107" s="159"/>
      <c r="G107" s="160"/>
      <c r="H107" s="160"/>
      <c r="I107" s="160"/>
      <c r="J107" s="160"/>
      <c r="K107" s="161"/>
      <c r="L107" s="23" t="s">
        <v>33</v>
      </c>
    </row>
    <row r="108" spans="1:12" x14ac:dyDescent="0.25">
      <c r="A108" s="66"/>
      <c r="B108" s="143" t="s">
        <v>809</v>
      </c>
      <c r="C108" s="144"/>
      <c r="D108" s="158"/>
      <c r="E108" s="43">
        <v>329.92</v>
      </c>
      <c r="F108" s="159"/>
      <c r="G108" s="160"/>
      <c r="H108" s="160"/>
      <c r="I108" s="160"/>
      <c r="J108" s="160"/>
      <c r="K108" s="161"/>
      <c r="L108" s="23" t="s">
        <v>33</v>
      </c>
    </row>
    <row r="109" spans="1:12" x14ac:dyDescent="0.25">
      <c r="A109" s="66"/>
      <c r="B109" s="143" t="s">
        <v>889</v>
      </c>
      <c r="C109" s="144"/>
      <c r="D109" s="158"/>
      <c r="E109" s="43">
        <v>462.9</v>
      </c>
      <c r="F109" s="159"/>
      <c r="G109" s="160"/>
      <c r="H109" s="160"/>
      <c r="I109" s="160"/>
      <c r="J109" s="160"/>
      <c r="K109" s="161"/>
      <c r="L109" s="23" t="s">
        <v>33</v>
      </c>
    </row>
    <row r="110" spans="1:12" x14ac:dyDescent="0.25">
      <c r="A110" s="66"/>
      <c r="B110" s="143" t="s">
        <v>897</v>
      </c>
      <c r="C110" s="144"/>
      <c r="D110" s="158"/>
      <c r="E110" s="43">
        <v>4040.12</v>
      </c>
      <c r="F110" s="159"/>
      <c r="G110" s="160"/>
      <c r="H110" s="160"/>
      <c r="I110" s="160"/>
      <c r="J110" s="160"/>
      <c r="K110" s="161"/>
      <c r="L110" s="23" t="s">
        <v>33</v>
      </c>
    </row>
    <row r="111" spans="1:12" x14ac:dyDescent="0.25">
      <c r="A111" s="66"/>
      <c r="B111" s="143" t="s">
        <v>898</v>
      </c>
      <c r="C111" s="144"/>
      <c r="D111" s="158"/>
      <c r="E111" s="43">
        <v>470.99</v>
      </c>
      <c r="F111" s="159"/>
      <c r="G111" s="160"/>
      <c r="H111" s="160"/>
      <c r="I111" s="160"/>
      <c r="J111" s="160"/>
      <c r="K111" s="161"/>
      <c r="L111" s="23" t="s">
        <v>33</v>
      </c>
    </row>
    <row r="112" spans="1:12" x14ac:dyDescent="0.25">
      <c r="A112" s="66"/>
      <c r="B112" s="143" t="s">
        <v>654</v>
      </c>
      <c r="C112" s="144"/>
      <c r="D112" s="158"/>
      <c r="E112" s="43">
        <v>2946.2</v>
      </c>
      <c r="F112" s="159"/>
      <c r="G112" s="160"/>
      <c r="H112" s="160"/>
      <c r="I112" s="160"/>
      <c r="J112" s="160"/>
      <c r="K112" s="161"/>
      <c r="L112" s="23" t="s">
        <v>33</v>
      </c>
    </row>
    <row r="113" spans="1:12" x14ac:dyDescent="0.25">
      <c r="A113" s="66"/>
      <c r="B113" s="143" t="s">
        <v>889</v>
      </c>
      <c r="C113" s="144"/>
      <c r="D113" s="158"/>
      <c r="E113" s="43">
        <v>1078.26</v>
      </c>
      <c r="F113" s="159"/>
      <c r="G113" s="160"/>
      <c r="H113" s="160"/>
      <c r="I113" s="160"/>
      <c r="J113" s="160"/>
      <c r="K113" s="161"/>
      <c r="L113" s="23" t="s">
        <v>33</v>
      </c>
    </row>
    <row r="114" spans="1:12" x14ac:dyDescent="0.25">
      <c r="A114" s="66"/>
      <c r="B114" s="143" t="s">
        <v>726</v>
      </c>
      <c r="C114" s="144"/>
      <c r="D114" s="158"/>
      <c r="E114" s="43">
        <v>415.76</v>
      </c>
      <c r="F114" s="159"/>
      <c r="G114" s="160"/>
      <c r="H114" s="160"/>
      <c r="I114" s="160"/>
      <c r="J114" s="160"/>
      <c r="K114" s="161"/>
      <c r="L114" s="23" t="s">
        <v>33</v>
      </c>
    </row>
    <row r="115" spans="1:12" x14ac:dyDescent="0.25">
      <c r="A115" s="66"/>
      <c r="B115" s="143" t="s">
        <v>844</v>
      </c>
      <c r="C115" s="144"/>
      <c r="D115" s="158"/>
      <c r="E115" s="43">
        <v>2703.48</v>
      </c>
      <c r="F115" s="159"/>
      <c r="G115" s="160"/>
      <c r="H115" s="160"/>
      <c r="I115" s="160"/>
      <c r="J115" s="160"/>
      <c r="K115" s="161"/>
      <c r="L115" s="23" t="s">
        <v>33</v>
      </c>
    </row>
    <row r="116" spans="1:12" x14ac:dyDescent="0.25">
      <c r="A116" s="66"/>
      <c r="B116" s="143" t="s">
        <v>899</v>
      </c>
      <c r="C116" s="144"/>
      <c r="D116" s="158"/>
      <c r="E116" s="43">
        <v>500</v>
      </c>
      <c r="F116" s="159"/>
      <c r="G116" s="160"/>
      <c r="H116" s="160"/>
      <c r="I116" s="160"/>
      <c r="J116" s="160"/>
      <c r="K116" s="161"/>
      <c r="L116" s="23" t="s">
        <v>33</v>
      </c>
    </row>
    <row r="117" spans="1:12" x14ac:dyDescent="0.25">
      <c r="A117" s="66"/>
      <c r="B117" s="143" t="s">
        <v>900</v>
      </c>
      <c r="C117" s="144"/>
      <c r="D117" s="158"/>
      <c r="E117" s="43">
        <v>1999.22</v>
      </c>
      <c r="F117" s="159"/>
      <c r="G117" s="160"/>
      <c r="H117" s="160"/>
      <c r="I117" s="160"/>
      <c r="J117" s="160"/>
      <c r="K117" s="161"/>
      <c r="L117" s="23" t="s">
        <v>33</v>
      </c>
    </row>
    <row r="118" spans="1:12" x14ac:dyDescent="0.25">
      <c r="A118" s="66"/>
      <c r="B118" s="143" t="s">
        <v>901</v>
      </c>
      <c r="C118" s="144"/>
      <c r="D118" s="158"/>
      <c r="E118" s="43">
        <v>419.53</v>
      </c>
      <c r="F118" s="159"/>
      <c r="G118" s="160"/>
      <c r="H118" s="160"/>
      <c r="I118" s="160"/>
      <c r="J118" s="160"/>
      <c r="K118" s="161"/>
      <c r="L118" s="23" t="s">
        <v>33</v>
      </c>
    </row>
    <row r="119" spans="1:12" x14ac:dyDescent="0.25">
      <c r="A119" s="66"/>
      <c r="B119" s="143" t="s">
        <v>902</v>
      </c>
      <c r="C119" s="144"/>
      <c r="D119" s="158"/>
      <c r="E119" s="43">
        <v>320.12</v>
      </c>
      <c r="F119" s="159"/>
      <c r="G119" s="160"/>
      <c r="H119" s="160"/>
      <c r="I119" s="160"/>
      <c r="J119" s="160"/>
      <c r="K119" s="161"/>
      <c r="L119" s="23" t="s">
        <v>33</v>
      </c>
    </row>
    <row r="120" spans="1:12" x14ac:dyDescent="0.25">
      <c r="A120" s="66"/>
      <c r="B120" s="143" t="s">
        <v>889</v>
      </c>
      <c r="C120" s="144"/>
      <c r="D120" s="158"/>
      <c r="E120" s="43">
        <v>770.32</v>
      </c>
      <c r="F120" s="159"/>
      <c r="G120" s="160"/>
      <c r="H120" s="160"/>
      <c r="I120" s="160"/>
      <c r="J120" s="160"/>
      <c r="K120" s="161"/>
      <c r="L120" s="23" t="s">
        <v>33</v>
      </c>
    </row>
    <row r="121" spans="1:12" x14ac:dyDescent="0.25">
      <c r="A121" s="66"/>
      <c r="B121" s="143" t="s">
        <v>876</v>
      </c>
      <c r="C121" s="144"/>
      <c r="D121" s="158"/>
      <c r="E121" s="43">
        <v>1337.18</v>
      </c>
      <c r="F121" s="159"/>
      <c r="G121" s="160"/>
      <c r="H121" s="160"/>
      <c r="I121" s="160"/>
      <c r="J121" s="160"/>
      <c r="K121" s="161"/>
      <c r="L121" s="23" t="s">
        <v>33</v>
      </c>
    </row>
    <row r="122" spans="1:12" x14ac:dyDescent="0.25">
      <c r="A122" s="66"/>
      <c r="B122" s="143" t="s">
        <v>738</v>
      </c>
      <c r="C122" s="144"/>
      <c r="D122" s="158"/>
      <c r="E122" s="43">
        <v>2127.25</v>
      </c>
      <c r="F122" s="159"/>
      <c r="G122" s="160"/>
      <c r="H122" s="160"/>
      <c r="I122" s="160"/>
      <c r="J122" s="160"/>
      <c r="K122" s="161"/>
      <c r="L122" s="23" t="s">
        <v>33</v>
      </c>
    </row>
    <row r="123" spans="1:12" x14ac:dyDescent="0.25">
      <c r="A123" s="66"/>
      <c r="B123" s="143" t="s">
        <v>749</v>
      </c>
      <c r="C123" s="144"/>
      <c r="D123" s="158"/>
      <c r="E123" s="43">
        <v>813.41</v>
      </c>
      <c r="F123" s="159"/>
      <c r="G123" s="160"/>
      <c r="H123" s="160"/>
      <c r="I123" s="160"/>
      <c r="J123" s="160"/>
      <c r="K123" s="161"/>
      <c r="L123" s="23" t="s">
        <v>33</v>
      </c>
    </row>
    <row r="124" spans="1:12" x14ac:dyDescent="0.25">
      <c r="A124" s="66"/>
      <c r="B124" s="143" t="s">
        <v>844</v>
      </c>
      <c r="C124" s="144"/>
      <c r="D124" s="158"/>
      <c r="E124" s="43">
        <v>3177.52</v>
      </c>
      <c r="F124" s="159"/>
      <c r="G124" s="160"/>
      <c r="H124" s="160"/>
      <c r="I124" s="160"/>
      <c r="J124" s="160"/>
      <c r="K124" s="161"/>
      <c r="L124" s="23" t="s">
        <v>33</v>
      </c>
    </row>
    <row r="125" spans="1:12" x14ac:dyDescent="0.25">
      <c r="A125" s="66"/>
      <c r="B125" s="143" t="s">
        <v>736</v>
      </c>
      <c r="C125" s="144"/>
      <c r="D125" s="158"/>
      <c r="E125" s="43">
        <v>484.56</v>
      </c>
      <c r="F125" s="159"/>
      <c r="G125" s="160"/>
      <c r="H125" s="160"/>
      <c r="I125" s="160"/>
      <c r="J125" s="160"/>
      <c r="K125" s="161"/>
      <c r="L125" s="23" t="s">
        <v>33</v>
      </c>
    </row>
    <row r="126" spans="1:12" x14ac:dyDescent="0.25">
      <c r="A126" s="66"/>
      <c r="B126" s="143" t="s">
        <v>903</v>
      </c>
      <c r="C126" s="144"/>
      <c r="D126" s="158"/>
      <c r="E126" s="43">
        <v>252.52</v>
      </c>
      <c r="F126" s="159"/>
      <c r="G126" s="160"/>
      <c r="H126" s="160"/>
      <c r="I126" s="160"/>
      <c r="J126" s="160"/>
      <c r="K126" s="161"/>
      <c r="L126" s="23" t="s">
        <v>33</v>
      </c>
    </row>
    <row r="127" spans="1:12" x14ac:dyDescent="0.25">
      <c r="A127" s="66"/>
      <c r="B127" s="143" t="s">
        <v>904</v>
      </c>
      <c r="C127" s="144"/>
      <c r="D127" s="158"/>
      <c r="E127" s="43">
        <v>335.12</v>
      </c>
      <c r="F127" s="159"/>
      <c r="G127" s="160"/>
      <c r="H127" s="160"/>
      <c r="I127" s="160"/>
      <c r="J127" s="160"/>
      <c r="K127" s="161"/>
      <c r="L127" s="23" t="s">
        <v>33</v>
      </c>
    </row>
    <row r="128" spans="1:12" x14ac:dyDescent="0.25">
      <c r="A128" s="66"/>
      <c r="B128" s="143" t="s">
        <v>905</v>
      </c>
      <c r="C128" s="144"/>
      <c r="D128" s="158"/>
      <c r="E128" s="43">
        <v>274.06</v>
      </c>
      <c r="F128" s="159"/>
      <c r="G128" s="160"/>
      <c r="H128" s="160"/>
      <c r="I128" s="160"/>
      <c r="J128" s="160"/>
      <c r="K128" s="161"/>
      <c r="L128" s="23" t="s">
        <v>33</v>
      </c>
    </row>
    <row r="129" spans="1:12" x14ac:dyDescent="0.25">
      <c r="A129" s="66"/>
      <c r="B129" s="143" t="s">
        <v>906</v>
      </c>
      <c r="C129" s="144"/>
      <c r="D129" s="158"/>
      <c r="E129" s="43">
        <v>83.83</v>
      </c>
      <c r="F129" s="159"/>
      <c r="G129" s="160"/>
      <c r="H129" s="160"/>
      <c r="I129" s="160"/>
      <c r="J129" s="160"/>
      <c r="K129" s="161"/>
      <c r="L129" s="23" t="s">
        <v>33</v>
      </c>
    </row>
    <row r="130" spans="1:12" x14ac:dyDescent="0.25">
      <c r="A130" s="66"/>
      <c r="B130" s="143" t="s">
        <v>751</v>
      </c>
      <c r="C130" s="144"/>
      <c r="D130" s="158"/>
      <c r="E130" s="43">
        <v>2009.86</v>
      </c>
      <c r="F130" s="159"/>
      <c r="G130" s="160"/>
      <c r="H130" s="160"/>
      <c r="I130" s="160"/>
      <c r="J130" s="160"/>
      <c r="K130" s="161"/>
      <c r="L130" s="23" t="s">
        <v>33</v>
      </c>
    </row>
    <row r="131" spans="1:12" x14ac:dyDescent="0.25">
      <c r="A131" s="66"/>
      <c r="B131" s="143" t="s">
        <v>907</v>
      </c>
      <c r="C131" s="144"/>
      <c r="D131" s="158"/>
      <c r="E131" s="43">
        <v>1179.93</v>
      </c>
      <c r="F131" s="159"/>
      <c r="G131" s="160"/>
      <c r="H131" s="160"/>
      <c r="I131" s="160"/>
      <c r="J131" s="160"/>
      <c r="K131" s="161"/>
      <c r="L131" s="23" t="s">
        <v>33</v>
      </c>
    </row>
    <row r="132" spans="1:12" x14ac:dyDescent="0.25">
      <c r="A132" s="66"/>
      <c r="B132" s="143" t="s">
        <v>759</v>
      </c>
      <c r="C132" s="144"/>
      <c r="D132" s="158"/>
      <c r="E132" s="43">
        <v>1021.99</v>
      </c>
      <c r="F132" s="159"/>
      <c r="G132" s="160"/>
      <c r="H132" s="160"/>
      <c r="I132" s="160"/>
      <c r="J132" s="160"/>
      <c r="K132" s="161"/>
      <c r="L132" s="23" t="s">
        <v>33</v>
      </c>
    </row>
    <row r="133" spans="1:12" x14ac:dyDescent="0.25">
      <c r="A133" s="66"/>
      <c r="B133" s="143" t="s">
        <v>908</v>
      </c>
      <c r="C133" s="144"/>
      <c r="D133" s="158"/>
      <c r="E133" s="43">
        <v>404.48</v>
      </c>
      <c r="F133" s="159"/>
      <c r="G133" s="160"/>
      <c r="H133" s="160"/>
      <c r="I133" s="160"/>
      <c r="J133" s="160"/>
      <c r="K133" s="161"/>
      <c r="L133" s="23" t="s">
        <v>33</v>
      </c>
    </row>
    <row r="134" spans="1:12" x14ac:dyDescent="0.25">
      <c r="A134" s="66"/>
      <c r="B134" s="143" t="s">
        <v>751</v>
      </c>
      <c r="C134" s="144"/>
      <c r="D134" s="158"/>
      <c r="E134" s="43">
        <v>1604.84</v>
      </c>
      <c r="F134" s="159"/>
      <c r="G134" s="160"/>
      <c r="H134" s="160"/>
      <c r="I134" s="160"/>
      <c r="J134" s="160"/>
      <c r="K134" s="161"/>
      <c r="L134" s="23" t="s">
        <v>33</v>
      </c>
    </row>
    <row r="135" spans="1:12" x14ac:dyDescent="0.25">
      <c r="A135" s="66"/>
      <c r="B135" s="143" t="s">
        <v>909</v>
      </c>
      <c r="C135" s="144"/>
      <c r="D135" s="158"/>
      <c r="E135" s="43">
        <v>587.74</v>
      </c>
      <c r="F135" s="159"/>
      <c r="G135" s="160"/>
      <c r="H135" s="160"/>
      <c r="I135" s="160"/>
      <c r="J135" s="160"/>
      <c r="K135" s="161"/>
      <c r="L135" s="23" t="s">
        <v>33</v>
      </c>
    </row>
    <row r="136" spans="1:12" x14ac:dyDescent="0.25">
      <c r="A136" s="66"/>
      <c r="B136" s="143" t="s">
        <v>910</v>
      </c>
      <c r="C136" s="144"/>
      <c r="D136" s="158"/>
      <c r="E136" s="43">
        <v>522.12</v>
      </c>
      <c r="F136" s="159"/>
      <c r="G136" s="160"/>
      <c r="H136" s="160"/>
      <c r="I136" s="160"/>
      <c r="J136" s="160"/>
      <c r="K136" s="161"/>
      <c r="L136" s="23" t="s">
        <v>33</v>
      </c>
    </row>
    <row r="137" spans="1:12" x14ac:dyDescent="0.25">
      <c r="A137" s="66"/>
      <c r="B137" s="143" t="s">
        <v>903</v>
      </c>
      <c r="C137" s="144"/>
      <c r="D137" s="158"/>
      <c r="E137" s="43">
        <v>286.7</v>
      </c>
      <c r="F137" s="159"/>
      <c r="G137" s="160"/>
      <c r="H137" s="160"/>
      <c r="I137" s="160"/>
      <c r="J137" s="160"/>
      <c r="K137" s="161"/>
      <c r="L137" s="23" t="s">
        <v>33</v>
      </c>
    </row>
    <row r="138" spans="1:12" x14ac:dyDescent="0.25">
      <c r="A138" s="66"/>
      <c r="B138" s="143" t="s">
        <v>746</v>
      </c>
      <c r="C138" s="144"/>
      <c r="D138" s="158"/>
      <c r="E138" s="43">
        <v>569.75</v>
      </c>
      <c r="F138" s="159"/>
      <c r="G138" s="160"/>
      <c r="H138" s="160"/>
      <c r="I138" s="160"/>
      <c r="J138" s="160"/>
      <c r="K138" s="161"/>
      <c r="L138" s="23" t="s">
        <v>33</v>
      </c>
    </row>
    <row r="139" spans="1:12" x14ac:dyDescent="0.25">
      <c r="A139" s="66"/>
      <c r="B139" s="143" t="s">
        <v>751</v>
      </c>
      <c r="C139" s="144"/>
      <c r="D139" s="158"/>
      <c r="E139" s="43">
        <v>2218.27</v>
      </c>
      <c r="F139" s="159"/>
      <c r="G139" s="160"/>
      <c r="H139" s="160"/>
      <c r="I139" s="160"/>
      <c r="J139" s="160"/>
      <c r="K139" s="161"/>
      <c r="L139" s="23" t="s">
        <v>33</v>
      </c>
    </row>
    <row r="140" spans="1:12" x14ac:dyDescent="0.25">
      <c r="A140" s="66"/>
      <c r="B140" s="143" t="s">
        <v>761</v>
      </c>
      <c r="C140" s="144"/>
      <c r="D140" s="158"/>
      <c r="E140" s="43">
        <v>858.72</v>
      </c>
      <c r="F140" s="159"/>
      <c r="G140" s="160"/>
      <c r="H140" s="160"/>
      <c r="I140" s="160"/>
      <c r="J140" s="160"/>
      <c r="K140" s="161"/>
      <c r="L140" s="23" t="s">
        <v>33</v>
      </c>
    </row>
    <row r="141" spans="1:12" x14ac:dyDescent="0.25">
      <c r="A141" s="66"/>
      <c r="B141" s="143" t="s">
        <v>738</v>
      </c>
      <c r="C141" s="144"/>
      <c r="D141" s="158"/>
      <c r="E141" s="43">
        <v>994.58</v>
      </c>
      <c r="F141" s="159"/>
      <c r="G141" s="160"/>
      <c r="H141" s="160"/>
      <c r="I141" s="160"/>
      <c r="J141" s="160"/>
      <c r="K141" s="161"/>
      <c r="L141" s="23" t="s">
        <v>33</v>
      </c>
    </row>
    <row r="142" spans="1:12" x14ac:dyDescent="0.25">
      <c r="A142" s="66"/>
      <c r="B142" s="143" t="s">
        <v>762</v>
      </c>
      <c r="C142" s="144"/>
      <c r="D142" s="158"/>
      <c r="E142" s="43">
        <v>320.27999999999997</v>
      </c>
      <c r="F142" s="159"/>
      <c r="G142" s="160"/>
      <c r="H142" s="160"/>
      <c r="I142" s="160"/>
      <c r="J142" s="160"/>
      <c r="K142" s="161"/>
      <c r="L142" s="23" t="s">
        <v>33</v>
      </c>
    </row>
    <row r="143" spans="1:12" x14ac:dyDescent="0.25">
      <c r="A143" s="66"/>
      <c r="B143" s="143" t="s">
        <v>911</v>
      </c>
      <c r="C143" s="144"/>
      <c r="D143" s="158"/>
      <c r="E143" s="43">
        <v>208.29</v>
      </c>
      <c r="F143" s="159"/>
      <c r="G143" s="160"/>
      <c r="H143" s="160"/>
      <c r="I143" s="160"/>
      <c r="J143" s="160"/>
      <c r="K143" s="161"/>
      <c r="L143" s="23" t="s">
        <v>33</v>
      </c>
    </row>
    <row r="144" spans="1:12" x14ac:dyDescent="0.25">
      <c r="A144" s="66"/>
      <c r="B144" s="143" t="s">
        <v>556</v>
      </c>
      <c r="C144" s="144"/>
      <c r="D144" s="158"/>
      <c r="E144" s="43">
        <v>1981.52</v>
      </c>
      <c r="F144" s="159"/>
      <c r="G144" s="160"/>
      <c r="H144" s="160"/>
      <c r="I144" s="160"/>
      <c r="J144" s="160"/>
      <c r="K144" s="161"/>
      <c r="L144" s="23" t="s">
        <v>33</v>
      </c>
    </row>
    <row r="145" spans="1:12" x14ac:dyDescent="0.25">
      <c r="A145" s="66"/>
      <c r="B145" s="143" t="s">
        <v>906</v>
      </c>
      <c r="C145" s="144"/>
      <c r="D145" s="158"/>
      <c r="E145" s="43">
        <v>83.25</v>
      </c>
      <c r="F145" s="159"/>
      <c r="G145" s="160"/>
      <c r="H145" s="160"/>
      <c r="I145" s="160"/>
      <c r="J145" s="160"/>
      <c r="K145" s="161"/>
      <c r="L145" s="23" t="s">
        <v>33</v>
      </c>
    </row>
    <row r="146" spans="1:12" x14ac:dyDescent="0.25">
      <c r="A146" s="66"/>
      <c r="B146" s="143" t="s">
        <v>654</v>
      </c>
      <c r="C146" s="144"/>
      <c r="D146" s="158"/>
      <c r="E146" s="43">
        <v>3097.97</v>
      </c>
      <c r="F146" s="159"/>
      <c r="G146" s="160"/>
      <c r="H146" s="160"/>
      <c r="I146" s="160"/>
      <c r="J146" s="160"/>
      <c r="K146" s="161"/>
      <c r="L146" s="23" t="s">
        <v>33</v>
      </c>
    </row>
    <row r="147" spans="1:12" x14ac:dyDescent="0.25">
      <c r="A147" s="66"/>
      <c r="B147" s="143" t="s">
        <v>736</v>
      </c>
      <c r="C147" s="144"/>
      <c r="D147" s="158"/>
      <c r="E147" s="43">
        <v>67.47</v>
      </c>
      <c r="F147" s="159"/>
      <c r="G147" s="160"/>
      <c r="H147" s="160"/>
      <c r="I147" s="160"/>
      <c r="J147" s="160"/>
      <c r="K147" s="161"/>
      <c r="L147" s="23" t="s">
        <v>33</v>
      </c>
    </row>
    <row r="148" spans="1:12" x14ac:dyDescent="0.25">
      <c r="A148" s="66"/>
      <c r="B148" s="143" t="s">
        <v>738</v>
      </c>
      <c r="C148" s="144"/>
      <c r="D148" s="158"/>
      <c r="E148" s="43">
        <v>2006.26</v>
      </c>
      <c r="F148" s="159"/>
      <c r="G148" s="160"/>
      <c r="H148" s="160"/>
      <c r="I148" s="160"/>
      <c r="J148" s="160"/>
      <c r="K148" s="161"/>
      <c r="L148" s="23" t="s">
        <v>33</v>
      </c>
    </row>
    <row r="149" spans="1:12" x14ac:dyDescent="0.25">
      <c r="A149" s="66"/>
      <c r="B149" s="143" t="s">
        <v>912</v>
      </c>
      <c r="C149" s="144"/>
      <c r="D149" s="158"/>
      <c r="E149" s="43">
        <v>13817.7</v>
      </c>
      <c r="F149" s="159"/>
      <c r="G149" s="160"/>
      <c r="H149" s="160"/>
      <c r="I149" s="160"/>
      <c r="J149" s="160"/>
      <c r="K149" s="161"/>
      <c r="L149" s="23" t="s">
        <v>33</v>
      </c>
    </row>
    <row r="150" spans="1:12" x14ac:dyDescent="0.25">
      <c r="A150" s="66"/>
      <c r="B150" s="143" t="s">
        <v>767</v>
      </c>
      <c r="C150" s="144"/>
      <c r="D150" s="158"/>
      <c r="E150" s="43">
        <v>849.68</v>
      </c>
      <c r="F150" s="159"/>
      <c r="G150" s="160"/>
      <c r="H150" s="160"/>
      <c r="I150" s="160"/>
      <c r="J150" s="160"/>
      <c r="K150" s="161"/>
      <c r="L150" s="23" t="s">
        <v>33</v>
      </c>
    </row>
    <row r="151" spans="1:12" x14ac:dyDescent="0.25">
      <c r="A151" s="66"/>
      <c r="B151" s="143" t="s">
        <v>729</v>
      </c>
      <c r="C151" s="144"/>
      <c r="D151" s="158"/>
      <c r="E151" s="43">
        <v>770.22</v>
      </c>
      <c r="F151" s="159"/>
      <c r="G151" s="160"/>
      <c r="H151" s="160"/>
      <c r="I151" s="160"/>
      <c r="J151" s="160"/>
      <c r="K151" s="161"/>
      <c r="L151" s="23" t="s">
        <v>33</v>
      </c>
    </row>
    <row r="152" spans="1:12" x14ac:dyDescent="0.25">
      <c r="A152" s="66"/>
      <c r="B152" s="143" t="s">
        <v>738</v>
      </c>
      <c r="C152" s="144"/>
      <c r="D152" s="158"/>
      <c r="E152" s="43">
        <v>1082.51</v>
      </c>
      <c r="F152" s="159"/>
      <c r="G152" s="160"/>
      <c r="H152" s="160"/>
      <c r="I152" s="160"/>
      <c r="J152" s="160"/>
      <c r="K152" s="161"/>
      <c r="L152" s="23" t="s">
        <v>33</v>
      </c>
    </row>
    <row r="153" spans="1:12" x14ac:dyDescent="0.25">
      <c r="A153" s="66"/>
      <c r="B153" s="143" t="s">
        <v>726</v>
      </c>
      <c r="C153" s="144"/>
      <c r="D153" s="158"/>
      <c r="E153" s="43">
        <v>442.63</v>
      </c>
      <c r="F153" s="159"/>
      <c r="G153" s="160"/>
      <c r="H153" s="160"/>
      <c r="I153" s="160"/>
      <c r="J153" s="160"/>
      <c r="K153" s="161"/>
      <c r="L153" s="23" t="s">
        <v>33</v>
      </c>
    </row>
    <row r="154" spans="1:12" x14ac:dyDescent="0.25">
      <c r="A154" s="66"/>
      <c r="B154" s="143" t="s">
        <v>764</v>
      </c>
      <c r="C154" s="144"/>
      <c r="D154" s="158"/>
      <c r="E154" s="43">
        <v>496.27</v>
      </c>
      <c r="F154" s="159"/>
      <c r="G154" s="160"/>
      <c r="H154" s="160"/>
      <c r="I154" s="160"/>
      <c r="J154" s="160"/>
      <c r="K154" s="161"/>
      <c r="L154" s="23" t="s">
        <v>33</v>
      </c>
    </row>
    <row r="155" spans="1:12" x14ac:dyDescent="0.25">
      <c r="A155" s="66"/>
      <c r="B155" s="143" t="s">
        <v>772</v>
      </c>
      <c r="C155" s="144"/>
      <c r="D155" s="158"/>
      <c r="E155" s="43">
        <v>368.22</v>
      </c>
      <c r="F155" s="159"/>
      <c r="G155" s="160"/>
      <c r="H155" s="160"/>
      <c r="I155" s="160"/>
      <c r="J155" s="160"/>
      <c r="K155" s="161"/>
      <c r="L155" s="23" t="s">
        <v>33</v>
      </c>
    </row>
    <row r="156" spans="1:12" x14ac:dyDescent="0.25">
      <c r="A156" s="66"/>
      <c r="B156" s="143" t="s">
        <v>913</v>
      </c>
      <c r="C156" s="144"/>
      <c r="D156" s="158"/>
      <c r="E156" s="43">
        <v>1132.92</v>
      </c>
      <c r="F156" s="159"/>
      <c r="G156" s="160"/>
      <c r="H156" s="160"/>
      <c r="I156" s="160"/>
      <c r="J156" s="160"/>
      <c r="K156" s="161"/>
      <c r="L156" s="23" t="s">
        <v>33</v>
      </c>
    </row>
    <row r="157" spans="1:12" x14ac:dyDescent="0.25">
      <c r="A157" s="66"/>
      <c r="B157" s="143" t="s">
        <v>767</v>
      </c>
      <c r="C157" s="144"/>
      <c r="D157" s="158"/>
      <c r="E157" s="43">
        <v>891.11</v>
      </c>
      <c r="F157" s="159"/>
      <c r="G157" s="160"/>
      <c r="H157" s="160"/>
      <c r="I157" s="160"/>
      <c r="J157" s="160"/>
      <c r="K157" s="161"/>
      <c r="L157" s="23" t="s">
        <v>33</v>
      </c>
    </row>
    <row r="158" spans="1:12" x14ac:dyDescent="0.25">
      <c r="A158" s="66"/>
      <c r="B158" s="143" t="s">
        <v>914</v>
      </c>
      <c r="C158" s="144"/>
      <c r="D158" s="158"/>
      <c r="E158" s="43">
        <v>9878.91</v>
      </c>
      <c r="F158" s="159"/>
      <c r="G158" s="160"/>
      <c r="H158" s="160"/>
      <c r="I158" s="160"/>
      <c r="J158" s="160"/>
      <c r="K158" s="161"/>
      <c r="L158" s="23" t="s">
        <v>33</v>
      </c>
    </row>
    <row r="159" spans="1:12" x14ac:dyDescent="0.25">
      <c r="A159" s="66"/>
      <c r="B159" s="143" t="s">
        <v>877</v>
      </c>
      <c r="C159" s="144"/>
      <c r="D159" s="158"/>
      <c r="E159" s="43">
        <v>664.41</v>
      </c>
      <c r="F159" s="159"/>
      <c r="G159" s="160"/>
      <c r="H159" s="160"/>
      <c r="I159" s="160"/>
      <c r="J159" s="160"/>
      <c r="K159" s="161"/>
      <c r="L159" s="23" t="s">
        <v>33</v>
      </c>
    </row>
    <row r="160" spans="1:12" x14ac:dyDescent="0.25">
      <c r="A160" s="66"/>
      <c r="B160" s="143" t="s">
        <v>903</v>
      </c>
      <c r="C160" s="144"/>
      <c r="D160" s="158"/>
      <c r="E160" s="43">
        <v>553.08000000000004</v>
      </c>
      <c r="F160" s="159"/>
      <c r="G160" s="160"/>
      <c r="H160" s="160"/>
      <c r="I160" s="160"/>
      <c r="J160" s="160"/>
      <c r="K160" s="161"/>
      <c r="L160" s="23" t="s">
        <v>33</v>
      </c>
    </row>
    <row r="161" spans="1:12" x14ac:dyDescent="0.25">
      <c r="A161" s="66"/>
      <c r="B161" s="143" t="s">
        <v>130</v>
      </c>
      <c r="C161" s="144"/>
      <c r="D161" s="158"/>
      <c r="E161" s="43">
        <v>6845.6</v>
      </c>
      <c r="F161" s="159"/>
      <c r="G161" s="160"/>
      <c r="H161" s="160"/>
      <c r="I161" s="160"/>
      <c r="J161" s="160"/>
      <c r="K161" s="161"/>
      <c r="L161" s="23" t="s">
        <v>33</v>
      </c>
    </row>
    <row r="162" spans="1:12" x14ac:dyDescent="0.25">
      <c r="A162" s="66"/>
      <c r="B162" s="143" t="s">
        <v>915</v>
      </c>
      <c r="C162" s="144"/>
      <c r="D162" s="158"/>
      <c r="E162" s="43">
        <v>34528.879999999997</v>
      </c>
      <c r="F162" s="159"/>
      <c r="G162" s="160"/>
      <c r="H162" s="160"/>
      <c r="I162" s="160"/>
      <c r="J162" s="160"/>
      <c r="K162" s="161"/>
      <c r="L162" s="23" t="s">
        <v>33</v>
      </c>
    </row>
    <row r="163" spans="1:12" x14ac:dyDescent="0.25">
      <c r="A163" s="66"/>
      <c r="B163" s="143" t="s">
        <v>771</v>
      </c>
      <c r="C163" s="144"/>
      <c r="D163" s="158"/>
      <c r="E163" s="43">
        <v>454.33</v>
      </c>
      <c r="F163" s="159"/>
      <c r="G163" s="160"/>
      <c r="H163" s="160"/>
      <c r="I163" s="160"/>
      <c r="J163" s="160"/>
      <c r="K163" s="161"/>
      <c r="L163" s="23" t="s">
        <v>33</v>
      </c>
    </row>
    <row r="164" spans="1:12" x14ac:dyDescent="0.25">
      <c r="A164" s="66"/>
      <c r="B164" s="143" t="s">
        <v>916</v>
      </c>
      <c r="C164" s="144"/>
      <c r="D164" s="158"/>
      <c r="E164" s="43">
        <v>3693.9</v>
      </c>
      <c r="F164" s="159"/>
      <c r="G164" s="160"/>
      <c r="H164" s="160"/>
      <c r="I164" s="160"/>
      <c r="J164" s="160"/>
      <c r="K164" s="161"/>
      <c r="L164" s="23" t="s">
        <v>33</v>
      </c>
    </row>
    <row r="165" spans="1:12" x14ac:dyDescent="0.25">
      <c r="A165" s="66"/>
      <c r="B165" s="143" t="s">
        <v>917</v>
      </c>
      <c r="C165" s="144"/>
      <c r="D165" s="158"/>
      <c r="E165" s="43">
        <v>4521.84</v>
      </c>
      <c r="F165" s="159"/>
      <c r="G165" s="160"/>
      <c r="H165" s="160"/>
      <c r="I165" s="160"/>
      <c r="J165" s="160"/>
      <c r="K165" s="161"/>
      <c r="L165" s="23" t="s">
        <v>33</v>
      </c>
    </row>
    <row r="166" spans="1:12" x14ac:dyDescent="0.25">
      <c r="A166" s="66"/>
      <c r="B166" s="143" t="s">
        <v>806</v>
      </c>
      <c r="C166" s="144"/>
      <c r="D166" s="158"/>
      <c r="E166" s="43">
        <v>368.93</v>
      </c>
      <c r="F166" s="159"/>
      <c r="G166" s="160"/>
      <c r="H166" s="160"/>
      <c r="I166" s="160"/>
      <c r="J166" s="160"/>
      <c r="K166" s="161"/>
      <c r="L166" s="23" t="s">
        <v>33</v>
      </c>
    </row>
    <row r="167" spans="1:12" x14ac:dyDescent="0.25">
      <c r="A167" s="66"/>
      <c r="B167" s="143" t="s">
        <v>727</v>
      </c>
      <c r="C167" s="144"/>
      <c r="D167" s="158"/>
      <c r="E167" s="43">
        <v>6372.6</v>
      </c>
      <c r="F167" s="159"/>
      <c r="G167" s="160"/>
      <c r="H167" s="160"/>
      <c r="I167" s="160"/>
      <c r="J167" s="160"/>
      <c r="K167" s="161"/>
      <c r="L167" s="23" t="s">
        <v>33</v>
      </c>
    </row>
    <row r="168" spans="1:12" x14ac:dyDescent="0.25">
      <c r="A168" s="66"/>
      <c r="B168" s="143" t="s">
        <v>918</v>
      </c>
      <c r="C168" s="144"/>
      <c r="D168" s="158"/>
      <c r="E168" s="43">
        <v>4508.1099999999997</v>
      </c>
      <c r="F168" s="159"/>
      <c r="G168" s="160"/>
      <c r="H168" s="160"/>
      <c r="I168" s="160"/>
      <c r="J168" s="160"/>
      <c r="K168" s="161"/>
      <c r="L168" s="23" t="s">
        <v>33</v>
      </c>
    </row>
    <row r="169" spans="1:12" x14ac:dyDescent="0.25">
      <c r="A169" s="66"/>
      <c r="B169" s="143" t="s">
        <v>919</v>
      </c>
      <c r="C169" s="144"/>
      <c r="D169" s="158"/>
      <c r="E169" s="43">
        <v>803.04</v>
      </c>
      <c r="F169" s="159"/>
      <c r="G169" s="160"/>
      <c r="H169" s="160"/>
      <c r="I169" s="160"/>
      <c r="J169" s="160"/>
      <c r="K169" s="161"/>
      <c r="L169" s="23" t="s">
        <v>33</v>
      </c>
    </row>
    <row r="170" spans="1:12" x14ac:dyDescent="0.25">
      <c r="A170" s="66"/>
      <c r="B170" s="143" t="s">
        <v>920</v>
      </c>
      <c r="C170" s="144"/>
      <c r="D170" s="158"/>
      <c r="E170" s="43">
        <v>33843.08</v>
      </c>
      <c r="F170" s="159"/>
      <c r="G170" s="160"/>
      <c r="H170" s="160"/>
      <c r="I170" s="160"/>
      <c r="J170" s="160"/>
      <c r="K170" s="161"/>
      <c r="L170" s="23" t="s">
        <v>33</v>
      </c>
    </row>
    <row r="171" spans="1:12" x14ac:dyDescent="0.25">
      <c r="A171" s="66"/>
      <c r="B171" s="143" t="s">
        <v>651</v>
      </c>
      <c r="C171" s="144"/>
      <c r="D171" s="158"/>
      <c r="E171" s="43">
        <v>2884.51</v>
      </c>
      <c r="F171" s="159"/>
      <c r="G171" s="160"/>
      <c r="H171" s="160"/>
      <c r="I171" s="160"/>
      <c r="J171" s="160"/>
      <c r="K171" s="161"/>
      <c r="L171" s="23" t="s">
        <v>33</v>
      </c>
    </row>
    <row r="172" spans="1:12" x14ac:dyDescent="0.25">
      <c r="A172" s="66"/>
      <c r="B172" s="143" t="s">
        <v>166</v>
      </c>
      <c r="C172" s="144"/>
      <c r="D172" s="158"/>
      <c r="E172" s="43">
        <v>526.45000000000005</v>
      </c>
      <c r="F172" s="159"/>
      <c r="G172" s="160"/>
      <c r="H172" s="160"/>
      <c r="I172" s="160"/>
      <c r="J172" s="160"/>
      <c r="K172" s="161"/>
      <c r="L172" s="23" t="s">
        <v>33</v>
      </c>
    </row>
    <row r="173" spans="1:12" x14ac:dyDescent="0.25">
      <c r="A173" s="66"/>
      <c r="B173" s="143" t="s">
        <v>419</v>
      </c>
      <c r="C173" s="144"/>
      <c r="D173" s="158"/>
      <c r="E173" s="43">
        <v>77.83</v>
      </c>
      <c r="F173" s="159"/>
      <c r="G173" s="160"/>
      <c r="H173" s="160"/>
      <c r="I173" s="160"/>
      <c r="J173" s="160"/>
      <c r="K173" s="161"/>
      <c r="L173" s="23" t="s">
        <v>33</v>
      </c>
    </row>
    <row r="174" spans="1:12" ht="16.5" thickBot="1" x14ac:dyDescent="0.3">
      <c r="A174" s="66"/>
      <c r="B174" s="143" t="s">
        <v>735</v>
      </c>
      <c r="C174" s="144"/>
      <c r="D174" s="158"/>
      <c r="E174" s="43">
        <v>317.13</v>
      </c>
      <c r="F174" s="159"/>
      <c r="G174" s="160"/>
      <c r="H174" s="160"/>
      <c r="I174" s="160"/>
      <c r="J174" s="160"/>
      <c r="K174" s="161"/>
      <c r="L174" s="23" t="s">
        <v>33</v>
      </c>
    </row>
    <row r="175" spans="1:12" ht="16.5" thickBot="1" x14ac:dyDescent="0.3">
      <c r="A175" s="70" t="s">
        <v>458</v>
      </c>
      <c r="B175" s="173" t="s">
        <v>463</v>
      </c>
      <c r="C175" s="174"/>
      <c r="D175" s="175"/>
      <c r="E175" s="36" t="s">
        <v>8</v>
      </c>
      <c r="F175" s="119" t="s">
        <v>15</v>
      </c>
      <c r="G175" s="120"/>
      <c r="H175" s="120"/>
      <c r="I175" s="120"/>
      <c r="J175" s="120"/>
      <c r="K175" s="121"/>
      <c r="L175" s="39" t="s">
        <v>16</v>
      </c>
    </row>
    <row r="176" spans="1:12" ht="16.5" thickBot="1" x14ac:dyDescent="0.3">
      <c r="A176" s="17" t="s">
        <v>251</v>
      </c>
      <c r="B176" s="128" t="s">
        <v>648</v>
      </c>
      <c r="C176" s="129"/>
      <c r="D176" s="162"/>
      <c r="E176" s="43">
        <v>1941.75</v>
      </c>
      <c r="F176" s="163" t="s">
        <v>838</v>
      </c>
      <c r="G176" s="164"/>
      <c r="H176" s="164"/>
      <c r="I176" s="164"/>
      <c r="J176" s="164"/>
      <c r="K176" s="165"/>
      <c r="L176" s="23" t="s">
        <v>71</v>
      </c>
    </row>
    <row r="177" spans="1:12" x14ac:dyDescent="0.25">
      <c r="A177" s="17" t="s">
        <v>347</v>
      </c>
      <c r="B177" s="128" t="s">
        <v>756</v>
      </c>
      <c r="C177" s="129"/>
      <c r="D177" s="162"/>
      <c r="E177" s="43">
        <v>1700</v>
      </c>
      <c r="F177" s="159"/>
      <c r="G177" s="160"/>
      <c r="H177" s="160"/>
      <c r="I177" s="160"/>
      <c r="J177" s="160"/>
      <c r="K177" s="161"/>
      <c r="L177" s="23" t="s">
        <v>71</v>
      </c>
    </row>
    <row r="178" spans="1:12" x14ac:dyDescent="0.25">
      <c r="A178" s="17" t="s">
        <v>348</v>
      </c>
      <c r="B178" s="143" t="s">
        <v>349</v>
      </c>
      <c r="C178" s="144"/>
      <c r="D178" s="158"/>
      <c r="E178" s="43">
        <v>430.53</v>
      </c>
      <c r="F178" s="159"/>
      <c r="G178" s="160"/>
      <c r="H178" s="160"/>
      <c r="I178" s="160"/>
      <c r="J178" s="160"/>
      <c r="K178" s="161"/>
      <c r="L178" s="23" t="s">
        <v>71</v>
      </c>
    </row>
    <row r="179" spans="1:12" x14ac:dyDescent="0.25">
      <c r="A179" s="17" t="s">
        <v>350</v>
      </c>
      <c r="B179" s="143" t="s">
        <v>351</v>
      </c>
      <c r="C179" s="144"/>
      <c r="D179" s="158"/>
      <c r="E179" s="43">
        <v>184.45</v>
      </c>
      <c r="F179" s="159"/>
      <c r="G179" s="160"/>
      <c r="H179" s="160"/>
      <c r="I179" s="160"/>
      <c r="J179" s="160"/>
      <c r="K179" s="161"/>
      <c r="L179" s="23" t="s">
        <v>71</v>
      </c>
    </row>
    <row r="180" spans="1:12" x14ac:dyDescent="0.25">
      <c r="A180" s="17" t="s">
        <v>352</v>
      </c>
      <c r="B180" s="143" t="s">
        <v>839</v>
      </c>
      <c r="C180" s="144"/>
      <c r="D180" s="158"/>
      <c r="E180" s="43">
        <v>443.72</v>
      </c>
      <c r="F180" s="159"/>
      <c r="G180" s="160"/>
      <c r="H180" s="160"/>
      <c r="I180" s="160"/>
      <c r="J180" s="160"/>
      <c r="K180" s="161"/>
      <c r="L180" s="23" t="s">
        <v>71</v>
      </c>
    </row>
    <row r="181" spans="1:12" x14ac:dyDescent="0.25">
      <c r="A181" s="17" t="s">
        <v>353</v>
      </c>
      <c r="B181" s="143" t="s">
        <v>840</v>
      </c>
      <c r="C181" s="144"/>
      <c r="D181" s="158"/>
      <c r="E181" s="43">
        <v>764.24</v>
      </c>
      <c r="F181" s="159"/>
      <c r="G181" s="160"/>
      <c r="H181" s="160"/>
      <c r="I181" s="160"/>
      <c r="J181" s="160"/>
      <c r="K181" s="161"/>
      <c r="L181" s="23" t="s">
        <v>71</v>
      </c>
    </row>
    <row r="182" spans="1:12" x14ac:dyDescent="0.25">
      <c r="A182" s="17" t="s">
        <v>354</v>
      </c>
      <c r="B182" s="143" t="s">
        <v>355</v>
      </c>
      <c r="C182" s="144"/>
      <c r="D182" s="158"/>
      <c r="E182" s="43">
        <v>960.49</v>
      </c>
      <c r="F182" s="159"/>
      <c r="G182" s="160"/>
      <c r="H182" s="160"/>
      <c r="I182" s="160"/>
      <c r="J182" s="160"/>
      <c r="K182" s="161"/>
      <c r="L182" s="23" t="s">
        <v>71</v>
      </c>
    </row>
    <row r="183" spans="1:12" x14ac:dyDescent="0.25">
      <c r="A183" s="17" t="s">
        <v>356</v>
      </c>
      <c r="B183" s="143" t="s">
        <v>357</v>
      </c>
      <c r="C183" s="144"/>
      <c r="D183" s="158"/>
      <c r="E183" s="43">
        <v>352.03</v>
      </c>
      <c r="F183" s="159"/>
      <c r="G183" s="160"/>
      <c r="H183" s="160"/>
      <c r="I183" s="160"/>
      <c r="J183" s="160"/>
      <c r="K183" s="161"/>
      <c r="L183" s="23" t="s">
        <v>71</v>
      </c>
    </row>
    <row r="184" spans="1:12" x14ac:dyDescent="0.25">
      <c r="A184" s="17" t="s">
        <v>358</v>
      </c>
      <c r="B184" s="143" t="s">
        <v>359</v>
      </c>
      <c r="C184" s="144"/>
      <c r="D184" s="158"/>
      <c r="E184" s="43">
        <v>393.67</v>
      </c>
      <c r="F184" s="159"/>
      <c r="G184" s="160"/>
      <c r="H184" s="160"/>
      <c r="I184" s="160"/>
      <c r="J184" s="160"/>
      <c r="K184" s="161"/>
      <c r="L184" s="23" t="s">
        <v>71</v>
      </c>
    </row>
    <row r="185" spans="1:12" x14ac:dyDescent="0.25">
      <c r="A185" s="17" t="s">
        <v>360</v>
      </c>
      <c r="B185" s="143" t="s">
        <v>361</v>
      </c>
      <c r="C185" s="144"/>
      <c r="D185" s="158"/>
      <c r="E185" s="43">
        <v>349.47</v>
      </c>
      <c r="F185" s="159"/>
      <c r="G185" s="160"/>
      <c r="H185" s="160"/>
      <c r="I185" s="160"/>
      <c r="J185" s="160"/>
      <c r="K185" s="161"/>
      <c r="L185" s="17" t="s">
        <v>71</v>
      </c>
    </row>
    <row r="186" spans="1:12" x14ac:dyDescent="0.25">
      <c r="A186" s="17" t="s">
        <v>362</v>
      </c>
      <c r="B186" s="143" t="s">
        <v>363</v>
      </c>
      <c r="C186" s="144"/>
      <c r="D186" s="158"/>
      <c r="E186" s="43">
        <v>1799.38</v>
      </c>
      <c r="F186" s="159"/>
      <c r="G186" s="160"/>
      <c r="H186" s="160"/>
      <c r="I186" s="160"/>
      <c r="J186" s="160"/>
      <c r="K186" s="161"/>
      <c r="L186" s="17" t="s">
        <v>71</v>
      </c>
    </row>
    <row r="187" spans="1:12" x14ac:dyDescent="0.25">
      <c r="A187" s="17" t="s">
        <v>270</v>
      </c>
      <c r="B187" s="143" t="s">
        <v>653</v>
      </c>
      <c r="C187" s="144"/>
      <c r="D187" s="158"/>
      <c r="E187" s="43">
        <v>445.56</v>
      </c>
      <c r="F187" s="159"/>
      <c r="G187" s="160"/>
      <c r="H187" s="160"/>
      <c r="I187" s="160"/>
      <c r="J187" s="160"/>
      <c r="K187" s="161"/>
      <c r="L187" s="17" t="s">
        <v>71</v>
      </c>
    </row>
    <row r="188" spans="1:12" x14ac:dyDescent="0.25">
      <c r="A188" s="17" t="s">
        <v>129</v>
      </c>
      <c r="B188" s="143" t="s">
        <v>365</v>
      </c>
      <c r="C188" s="144"/>
      <c r="D188" s="158"/>
      <c r="E188" s="43">
        <v>624.67999999999995</v>
      </c>
      <c r="F188" s="159"/>
      <c r="G188" s="160"/>
      <c r="H188" s="160"/>
      <c r="I188" s="160"/>
      <c r="J188" s="160"/>
      <c r="K188" s="161"/>
      <c r="L188" s="17" t="s">
        <v>71</v>
      </c>
    </row>
    <row r="189" spans="1:12" x14ac:dyDescent="0.25">
      <c r="A189" s="17" t="s">
        <v>366</v>
      </c>
      <c r="B189" s="143" t="s">
        <v>837</v>
      </c>
      <c r="C189" s="144"/>
      <c r="D189" s="158"/>
      <c r="E189" s="43">
        <v>1622.32</v>
      </c>
      <c r="F189" s="159"/>
      <c r="G189" s="160"/>
      <c r="H189" s="160"/>
      <c r="I189" s="160"/>
      <c r="J189" s="160"/>
      <c r="K189" s="161"/>
      <c r="L189" s="17" t="s">
        <v>71</v>
      </c>
    </row>
    <row r="190" spans="1:12" x14ac:dyDescent="0.25">
      <c r="A190" s="17" t="s">
        <v>367</v>
      </c>
      <c r="B190" s="143" t="s">
        <v>368</v>
      </c>
      <c r="C190" s="144"/>
      <c r="D190" s="158"/>
      <c r="E190" s="43">
        <v>552.57000000000005</v>
      </c>
      <c r="F190" s="159"/>
      <c r="G190" s="160"/>
      <c r="H190" s="160"/>
      <c r="I190" s="160"/>
      <c r="J190" s="160"/>
      <c r="K190" s="161"/>
      <c r="L190" s="17" t="s">
        <v>71</v>
      </c>
    </row>
    <row r="191" spans="1:12" x14ac:dyDescent="0.25">
      <c r="A191" s="17" t="s">
        <v>369</v>
      </c>
      <c r="B191" s="143" t="s">
        <v>370</v>
      </c>
      <c r="C191" s="144"/>
      <c r="D191" s="158"/>
      <c r="E191" s="43">
        <v>548.20000000000005</v>
      </c>
      <c r="F191" s="159"/>
      <c r="G191" s="160"/>
      <c r="H191" s="160"/>
      <c r="I191" s="160"/>
      <c r="J191" s="160"/>
      <c r="K191" s="161"/>
      <c r="L191" s="17" t="s">
        <v>71</v>
      </c>
    </row>
    <row r="192" spans="1:12" x14ac:dyDescent="0.25">
      <c r="A192" s="17" t="s">
        <v>371</v>
      </c>
      <c r="B192" s="143" t="s">
        <v>372</v>
      </c>
      <c r="C192" s="144"/>
      <c r="D192" s="158"/>
      <c r="E192" s="43">
        <v>5735.49</v>
      </c>
      <c r="F192" s="159"/>
      <c r="G192" s="160"/>
      <c r="H192" s="160"/>
      <c r="I192" s="160"/>
      <c r="J192" s="160"/>
      <c r="K192" s="161"/>
      <c r="L192" s="17" t="s">
        <v>71</v>
      </c>
    </row>
    <row r="193" spans="1:12" x14ac:dyDescent="0.25">
      <c r="A193" s="17" t="s">
        <v>373</v>
      </c>
      <c r="B193" s="143" t="s">
        <v>841</v>
      </c>
      <c r="C193" s="144"/>
      <c r="D193" s="158"/>
      <c r="E193" s="43">
        <v>2697.74</v>
      </c>
      <c r="F193" s="159"/>
      <c r="G193" s="160"/>
      <c r="H193" s="160"/>
      <c r="I193" s="160"/>
      <c r="J193" s="160"/>
      <c r="K193" s="161"/>
      <c r="L193" s="17" t="s">
        <v>71</v>
      </c>
    </row>
    <row r="194" spans="1:12" x14ac:dyDescent="0.25">
      <c r="A194" s="17" t="s">
        <v>374</v>
      </c>
      <c r="B194" s="143" t="s">
        <v>842</v>
      </c>
      <c r="C194" s="144"/>
      <c r="D194" s="158"/>
      <c r="E194" s="43">
        <v>9085.93</v>
      </c>
      <c r="F194" s="159"/>
      <c r="G194" s="160"/>
      <c r="H194" s="160"/>
      <c r="I194" s="160"/>
      <c r="J194" s="160"/>
      <c r="K194" s="161"/>
      <c r="L194" s="17" t="s">
        <v>71</v>
      </c>
    </row>
    <row r="195" spans="1:12" x14ac:dyDescent="0.25">
      <c r="A195" s="17" t="s">
        <v>375</v>
      </c>
      <c r="B195" s="143" t="s">
        <v>843</v>
      </c>
      <c r="C195" s="144"/>
      <c r="D195" s="158"/>
      <c r="E195" s="43">
        <v>429.01</v>
      </c>
      <c r="F195" s="159"/>
      <c r="G195" s="160"/>
      <c r="H195" s="160"/>
      <c r="I195" s="160"/>
      <c r="J195" s="160"/>
      <c r="K195" s="161"/>
      <c r="L195" s="17" t="s">
        <v>71</v>
      </c>
    </row>
    <row r="196" spans="1:12" ht="16.5" thickBot="1" x14ac:dyDescent="0.3">
      <c r="A196" s="26" t="s">
        <v>376</v>
      </c>
      <c r="B196" s="149" t="s">
        <v>844</v>
      </c>
      <c r="C196" s="150"/>
      <c r="D196" s="169"/>
      <c r="E196" s="45">
        <v>3430.17</v>
      </c>
      <c r="F196" s="170"/>
      <c r="G196" s="171"/>
      <c r="H196" s="171"/>
      <c r="I196" s="171"/>
      <c r="J196" s="171"/>
      <c r="K196" s="172"/>
      <c r="L196" s="26" t="s">
        <v>71</v>
      </c>
    </row>
    <row r="197" spans="1:12" x14ac:dyDescent="0.25">
      <c r="A197" s="68"/>
      <c r="B197" s="69"/>
      <c r="C197" s="46"/>
      <c r="D197" s="46"/>
      <c r="F197" s="47"/>
      <c r="G197" s="47"/>
      <c r="H197" s="47"/>
      <c r="I197" s="47"/>
      <c r="J197" s="47"/>
      <c r="K197" s="47"/>
    </row>
    <row r="198" spans="1:12" x14ac:dyDescent="0.25">
      <c r="B198" s="176" t="s">
        <v>464</v>
      </c>
      <c r="C198" s="176"/>
      <c r="D198" s="176"/>
      <c r="E198" s="6">
        <f>SUM(E42:E50)</f>
        <v>94.53</v>
      </c>
      <c r="F198" s="6"/>
      <c r="G198" s="6"/>
      <c r="H198" s="6"/>
      <c r="I198" s="6"/>
      <c r="J198" s="6"/>
      <c r="K198" s="6"/>
    </row>
    <row r="199" spans="1:12" x14ac:dyDescent="0.25">
      <c r="B199" s="176" t="s">
        <v>465</v>
      </c>
      <c r="C199" s="176"/>
      <c r="D199" s="176"/>
      <c r="E199" s="6">
        <f>SUM(E23:E40)</f>
        <v>2048.1400000000003</v>
      </c>
    </row>
    <row r="200" spans="1:12" x14ac:dyDescent="0.25">
      <c r="B200" s="176" t="s">
        <v>466</v>
      </c>
      <c r="C200" s="176"/>
      <c r="D200" s="176"/>
      <c r="E200" s="6">
        <f>SUM(E52:E60)</f>
        <v>0</v>
      </c>
    </row>
    <row r="205" spans="1:12" ht="18.75" x14ac:dyDescent="0.3">
      <c r="B205" s="48"/>
    </row>
  </sheetData>
  <mergeCells count="378">
    <mergeCell ref="B170:D170"/>
    <mergeCell ref="F170:K170"/>
    <mergeCell ref="B171:D171"/>
    <mergeCell ref="F171:K171"/>
    <mergeCell ref="B172:D172"/>
    <mergeCell ref="F172:K172"/>
    <mergeCell ref="B173:D173"/>
    <mergeCell ref="F173:K173"/>
    <mergeCell ref="B174:D174"/>
    <mergeCell ref="F174:K174"/>
    <mergeCell ref="B165:D165"/>
    <mergeCell ref="F165:K165"/>
    <mergeCell ref="B166:D166"/>
    <mergeCell ref="F166:K166"/>
    <mergeCell ref="B167:D167"/>
    <mergeCell ref="F167:K167"/>
    <mergeCell ref="B168:D168"/>
    <mergeCell ref="F168:K168"/>
    <mergeCell ref="B169:D169"/>
    <mergeCell ref="F169:K169"/>
    <mergeCell ref="B160:D160"/>
    <mergeCell ref="F160:K160"/>
    <mergeCell ref="B161:D161"/>
    <mergeCell ref="F161:K161"/>
    <mergeCell ref="B162:D162"/>
    <mergeCell ref="F162:K162"/>
    <mergeCell ref="B163:D163"/>
    <mergeCell ref="F163:K163"/>
    <mergeCell ref="B164:D164"/>
    <mergeCell ref="F164:K164"/>
    <mergeCell ref="B155:D155"/>
    <mergeCell ref="F155:K155"/>
    <mergeCell ref="B156:D156"/>
    <mergeCell ref="F156:K156"/>
    <mergeCell ref="B157:D157"/>
    <mergeCell ref="F157:K157"/>
    <mergeCell ref="B158:D158"/>
    <mergeCell ref="F158:K158"/>
    <mergeCell ref="B159:D159"/>
    <mergeCell ref="F159:K159"/>
    <mergeCell ref="B150:D150"/>
    <mergeCell ref="F150:K150"/>
    <mergeCell ref="B151:D151"/>
    <mergeCell ref="F151:K151"/>
    <mergeCell ref="B152:D152"/>
    <mergeCell ref="F152:K152"/>
    <mergeCell ref="B153:D153"/>
    <mergeCell ref="F153:K153"/>
    <mergeCell ref="B154:D154"/>
    <mergeCell ref="F154:K154"/>
    <mergeCell ref="B145:D145"/>
    <mergeCell ref="F145:K145"/>
    <mergeCell ref="B146:D146"/>
    <mergeCell ref="F146:K146"/>
    <mergeCell ref="B147:D147"/>
    <mergeCell ref="F147:K147"/>
    <mergeCell ref="B148:D148"/>
    <mergeCell ref="F148:K148"/>
    <mergeCell ref="B149:D149"/>
    <mergeCell ref="F149:K149"/>
    <mergeCell ref="B140:D140"/>
    <mergeCell ref="F140:K140"/>
    <mergeCell ref="B141:D141"/>
    <mergeCell ref="F141:K141"/>
    <mergeCell ref="B142:D142"/>
    <mergeCell ref="F142:K142"/>
    <mergeCell ref="B143:D143"/>
    <mergeCell ref="F143:K143"/>
    <mergeCell ref="B144:D144"/>
    <mergeCell ref="F144:K144"/>
    <mergeCell ref="B135:D135"/>
    <mergeCell ref="F135:K135"/>
    <mergeCell ref="B136:D136"/>
    <mergeCell ref="F136:K136"/>
    <mergeCell ref="B137:D137"/>
    <mergeCell ref="F137:K137"/>
    <mergeCell ref="B138:D138"/>
    <mergeCell ref="F138:K138"/>
    <mergeCell ref="B139:D139"/>
    <mergeCell ref="F139:K139"/>
    <mergeCell ref="B130:D130"/>
    <mergeCell ref="F130:K130"/>
    <mergeCell ref="B131:D131"/>
    <mergeCell ref="F131:K131"/>
    <mergeCell ref="B132:D132"/>
    <mergeCell ref="F132:K132"/>
    <mergeCell ref="B133:D133"/>
    <mergeCell ref="F133:K133"/>
    <mergeCell ref="B134:D134"/>
    <mergeCell ref="F134:K134"/>
    <mergeCell ref="B125:D125"/>
    <mergeCell ref="F125:K125"/>
    <mergeCell ref="B126:D126"/>
    <mergeCell ref="F126:K126"/>
    <mergeCell ref="B127:D127"/>
    <mergeCell ref="F127:K127"/>
    <mergeCell ref="B128:D128"/>
    <mergeCell ref="F128:K128"/>
    <mergeCell ref="B129:D129"/>
    <mergeCell ref="F129:K129"/>
    <mergeCell ref="B120:D120"/>
    <mergeCell ref="F120:K120"/>
    <mergeCell ref="B121:D121"/>
    <mergeCell ref="F121:K121"/>
    <mergeCell ref="B122:D122"/>
    <mergeCell ref="F122:K122"/>
    <mergeCell ref="B123:D123"/>
    <mergeCell ref="F123:K123"/>
    <mergeCell ref="B124:D124"/>
    <mergeCell ref="F124:K124"/>
    <mergeCell ref="B115:D115"/>
    <mergeCell ref="F115:K115"/>
    <mergeCell ref="B116:D116"/>
    <mergeCell ref="F116:K116"/>
    <mergeCell ref="B117:D117"/>
    <mergeCell ref="F117:K117"/>
    <mergeCell ref="B118:D118"/>
    <mergeCell ref="F118:K118"/>
    <mergeCell ref="B119:D119"/>
    <mergeCell ref="F119:K119"/>
    <mergeCell ref="B110:D110"/>
    <mergeCell ref="F110:K110"/>
    <mergeCell ref="B111:D111"/>
    <mergeCell ref="F111:K111"/>
    <mergeCell ref="B112:D112"/>
    <mergeCell ref="F112:K112"/>
    <mergeCell ref="B113:D113"/>
    <mergeCell ref="F113:K113"/>
    <mergeCell ref="B114:D114"/>
    <mergeCell ref="F114:K114"/>
    <mergeCell ref="B105:D105"/>
    <mergeCell ref="F105:K105"/>
    <mergeCell ref="B106:D106"/>
    <mergeCell ref="F106:K106"/>
    <mergeCell ref="B107:D107"/>
    <mergeCell ref="F107:K107"/>
    <mergeCell ref="B108:D108"/>
    <mergeCell ref="F108:K108"/>
    <mergeCell ref="B109:D109"/>
    <mergeCell ref="F109:K109"/>
    <mergeCell ref="B100:D100"/>
    <mergeCell ref="F100:K100"/>
    <mergeCell ref="B101:D101"/>
    <mergeCell ref="F101:K101"/>
    <mergeCell ref="B102:D102"/>
    <mergeCell ref="F102:K102"/>
    <mergeCell ref="B103:D103"/>
    <mergeCell ref="F103:K103"/>
    <mergeCell ref="B104:D104"/>
    <mergeCell ref="F104:K104"/>
    <mergeCell ref="B95:D95"/>
    <mergeCell ref="F95:K95"/>
    <mergeCell ref="B96:D96"/>
    <mergeCell ref="F96:K96"/>
    <mergeCell ref="B97:D97"/>
    <mergeCell ref="F97:K97"/>
    <mergeCell ref="B98:D98"/>
    <mergeCell ref="F98:K98"/>
    <mergeCell ref="B99:D99"/>
    <mergeCell ref="F99:K99"/>
    <mergeCell ref="B90:D90"/>
    <mergeCell ref="F90:K90"/>
    <mergeCell ref="B91:D91"/>
    <mergeCell ref="F91:K91"/>
    <mergeCell ref="B92:D92"/>
    <mergeCell ref="F92:K92"/>
    <mergeCell ref="B93:D93"/>
    <mergeCell ref="F93:K93"/>
    <mergeCell ref="B94:D94"/>
    <mergeCell ref="F94:K94"/>
    <mergeCell ref="B85:D85"/>
    <mergeCell ref="F85:K85"/>
    <mergeCell ref="B86:D86"/>
    <mergeCell ref="F86:K86"/>
    <mergeCell ref="B87:D87"/>
    <mergeCell ref="F87:K87"/>
    <mergeCell ref="B88:D88"/>
    <mergeCell ref="F88:K88"/>
    <mergeCell ref="B89:D89"/>
    <mergeCell ref="F89:K89"/>
    <mergeCell ref="B80:D80"/>
    <mergeCell ref="F80:K80"/>
    <mergeCell ref="B81:D81"/>
    <mergeCell ref="F81:K81"/>
    <mergeCell ref="B82:D82"/>
    <mergeCell ref="F82:K82"/>
    <mergeCell ref="B83:D83"/>
    <mergeCell ref="F83:K83"/>
    <mergeCell ref="B84:D84"/>
    <mergeCell ref="F84:K84"/>
    <mergeCell ref="B75:D75"/>
    <mergeCell ref="F75:K75"/>
    <mergeCell ref="B76:D76"/>
    <mergeCell ref="F76:K76"/>
    <mergeCell ref="B77:D77"/>
    <mergeCell ref="F77:K77"/>
    <mergeCell ref="B78:D78"/>
    <mergeCell ref="F78:K78"/>
    <mergeCell ref="B79:D79"/>
    <mergeCell ref="F79:K79"/>
    <mergeCell ref="B70:D70"/>
    <mergeCell ref="F70:K70"/>
    <mergeCell ref="B71:D71"/>
    <mergeCell ref="F71:K71"/>
    <mergeCell ref="B72:D72"/>
    <mergeCell ref="F72:K72"/>
    <mergeCell ref="B73:D73"/>
    <mergeCell ref="F73:K73"/>
    <mergeCell ref="B74:D74"/>
    <mergeCell ref="F74:K74"/>
    <mergeCell ref="B199:D199"/>
    <mergeCell ref="B200:D200"/>
    <mergeCell ref="B22:D22"/>
    <mergeCell ref="H22:K22"/>
    <mergeCell ref="B23:D23"/>
    <mergeCell ref="H23:K23"/>
    <mergeCell ref="B27:D27"/>
    <mergeCell ref="H27:K27"/>
    <mergeCell ref="B28:D28"/>
    <mergeCell ref="H28:K28"/>
    <mergeCell ref="B29:D29"/>
    <mergeCell ref="B33:D33"/>
    <mergeCell ref="H33:K33"/>
    <mergeCell ref="B36:D36"/>
    <mergeCell ref="H36:K36"/>
    <mergeCell ref="B37:D37"/>
    <mergeCell ref="H37:K37"/>
    <mergeCell ref="B38:D38"/>
    <mergeCell ref="H38:K38"/>
    <mergeCell ref="B34:D34"/>
    <mergeCell ref="H34:K34"/>
    <mergeCell ref="B35:D35"/>
    <mergeCell ref="H35:K35"/>
    <mergeCell ref="B42:D42"/>
    <mergeCell ref="J1:L1"/>
    <mergeCell ref="E3:F3"/>
    <mergeCell ref="I3:L3"/>
    <mergeCell ref="I4:J4"/>
    <mergeCell ref="K4:L4"/>
    <mergeCell ref="I5:J5"/>
    <mergeCell ref="K5:L5"/>
    <mergeCell ref="I18:K18"/>
    <mergeCell ref="I9:K9"/>
    <mergeCell ref="I10:K10"/>
    <mergeCell ref="I11:K11"/>
    <mergeCell ref="I15:K15"/>
    <mergeCell ref="I16:K16"/>
    <mergeCell ref="I17:K17"/>
    <mergeCell ref="I6:J6"/>
    <mergeCell ref="K6:L6"/>
    <mergeCell ref="I7:J7"/>
    <mergeCell ref="K7:L7"/>
    <mergeCell ref="B8:C8"/>
    <mergeCell ref="D8:E8"/>
    <mergeCell ref="F8:G8"/>
    <mergeCell ref="B30:D30"/>
    <mergeCell ref="H30:K30"/>
    <mergeCell ref="B31:D31"/>
    <mergeCell ref="H31:K31"/>
    <mergeCell ref="B32:D32"/>
    <mergeCell ref="H32:K32"/>
    <mergeCell ref="H29:K29"/>
    <mergeCell ref="B24:D24"/>
    <mergeCell ref="H24:K24"/>
    <mergeCell ref="B25:D25"/>
    <mergeCell ref="H25:K25"/>
    <mergeCell ref="B26:D26"/>
    <mergeCell ref="H26:K26"/>
    <mergeCell ref="A21:L21"/>
    <mergeCell ref="I12:K12"/>
    <mergeCell ref="I13:K13"/>
    <mergeCell ref="I14:K14"/>
    <mergeCell ref="F42:K42"/>
    <mergeCell ref="B43:D43"/>
    <mergeCell ref="F43:K43"/>
    <mergeCell ref="B44:D44"/>
    <mergeCell ref="F44:K44"/>
    <mergeCell ref="B39:D39"/>
    <mergeCell ref="H39:K39"/>
    <mergeCell ref="B40:D40"/>
    <mergeCell ref="H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57:D57"/>
    <mergeCell ref="F57:K57"/>
    <mergeCell ref="B58:D58"/>
    <mergeCell ref="F58:K58"/>
    <mergeCell ref="B59:D59"/>
    <mergeCell ref="F59:K59"/>
    <mergeCell ref="B62:D62"/>
    <mergeCell ref="F62:K62"/>
    <mergeCell ref="B60:D60"/>
    <mergeCell ref="F60:K60"/>
    <mergeCell ref="B61:D61"/>
    <mergeCell ref="F61:K61"/>
    <mergeCell ref="B63:D63"/>
    <mergeCell ref="F63:K63"/>
    <mergeCell ref="B64:D64"/>
    <mergeCell ref="F64:K64"/>
    <mergeCell ref="B177:D177"/>
    <mergeCell ref="F177:K177"/>
    <mergeCell ref="B178:D178"/>
    <mergeCell ref="F178:K178"/>
    <mergeCell ref="B179:D179"/>
    <mergeCell ref="F179:K179"/>
    <mergeCell ref="B175:D175"/>
    <mergeCell ref="F175:K175"/>
    <mergeCell ref="B176:D176"/>
    <mergeCell ref="F176:K176"/>
    <mergeCell ref="B65:D65"/>
    <mergeCell ref="F65:K65"/>
    <mergeCell ref="B66:D66"/>
    <mergeCell ref="F66:K66"/>
    <mergeCell ref="B67:D67"/>
    <mergeCell ref="F67:K67"/>
    <mergeCell ref="B68:D68"/>
    <mergeCell ref="F68:K68"/>
    <mergeCell ref="B69:D69"/>
    <mergeCell ref="F69:K69"/>
    <mergeCell ref="B198:D198"/>
    <mergeCell ref="B183:D183"/>
    <mergeCell ref="F183:K183"/>
    <mergeCell ref="B184:D184"/>
    <mergeCell ref="F184:K184"/>
    <mergeCell ref="B185:D185"/>
    <mergeCell ref="F185:K185"/>
    <mergeCell ref="B180:D180"/>
    <mergeCell ref="F180:K180"/>
    <mergeCell ref="B181:D181"/>
    <mergeCell ref="F181:K181"/>
    <mergeCell ref="B182:D182"/>
    <mergeCell ref="F182:K182"/>
    <mergeCell ref="B191:D191"/>
    <mergeCell ref="F191:K191"/>
    <mergeCell ref="B195:D195"/>
    <mergeCell ref="F195:K195"/>
    <mergeCell ref="B196:D196"/>
    <mergeCell ref="F196:K196"/>
    <mergeCell ref="B186:D186"/>
    <mergeCell ref="F186:K186"/>
    <mergeCell ref="B187:D187"/>
    <mergeCell ref="B193:D193"/>
    <mergeCell ref="F193:K193"/>
    <mergeCell ref="B194:D194"/>
    <mergeCell ref="F194:K194"/>
    <mergeCell ref="F187:K187"/>
    <mergeCell ref="B188:D188"/>
    <mergeCell ref="F188:K188"/>
    <mergeCell ref="B189:D189"/>
    <mergeCell ref="F189:K189"/>
    <mergeCell ref="B190:D190"/>
    <mergeCell ref="F190:K190"/>
    <mergeCell ref="B192:D192"/>
    <mergeCell ref="F192:K192"/>
  </mergeCells>
  <conditionalFormatting sqref="A21:A22 B175:XFD176 B181:XFD202">
    <cfRule type="cellIs" dxfId="386" priority="8" stopIfTrue="1" operator="equal">
      <formula>"OK"</formula>
    </cfRule>
  </conditionalFormatting>
  <conditionalFormatting sqref="A203:XFD1048576">
    <cfRule type="cellIs" dxfId="385" priority="20" stopIfTrue="1" operator="equal">
      <formula>"OK"</formula>
    </cfRule>
  </conditionalFormatting>
  <conditionalFormatting sqref="B52:B55">
    <cfRule type="expression" dxfId="384" priority="27">
      <formula>$J52="ancien paiement"</formula>
    </cfRule>
  </conditionalFormatting>
  <conditionalFormatting sqref="B23:D24">
    <cfRule type="expression" dxfId="383" priority="2">
      <formula>$F23="ancien paiement"</formula>
    </cfRule>
  </conditionalFormatting>
  <conditionalFormatting sqref="B24:D24">
    <cfRule type="cellIs" dxfId="382" priority="1" stopIfTrue="1" operator="equal">
      <formula>"OK"</formula>
    </cfRule>
  </conditionalFormatting>
  <conditionalFormatting sqref="B177:D177 E177:F178 B178 B179:XFD179 B180 E180:F180 B41:XFD50 B61:XFD62 B63:B174 E63:F174 B22:H23 E24:H24 B25:H40 B1:J1 M1:XFD1 A2:XFD2 E3 G3:I3 M3:XFD3 B3:D6 K4 P4:XFD7 K5:L7 B7:I7 B8:D8 F8 I8 M8:XFD8 L9:XFD19 A20:XFD20 M21:XFD21 L22:XFD40 M51:XFD60 L63:XFD174 L177:XFD178 L180:XFD180">
    <cfRule type="cellIs" dxfId="381" priority="29" stopIfTrue="1" operator="equal">
      <formula>"OK"</formula>
    </cfRule>
  </conditionalFormatting>
  <conditionalFormatting sqref="B23:H40">
    <cfRule type="expression" dxfId="380" priority="3">
      <formula>$J23="ancien paiement"</formula>
    </cfRule>
  </conditionalFormatting>
  <conditionalFormatting sqref="B9:I19">
    <cfRule type="cellIs" dxfId="379" priority="18" stopIfTrue="1" operator="equal">
      <formula>"OK"</formula>
    </cfRule>
  </conditionalFormatting>
  <conditionalFormatting sqref="B42:K42">
    <cfRule type="expression" dxfId="378" priority="25">
      <formula>$J42="ancien paiement"</formula>
    </cfRule>
  </conditionalFormatting>
  <conditionalFormatting sqref="B42:K51 B52:B55">
    <cfRule type="expression" dxfId="377" priority="12">
      <formula>$F42="ancien paiement"</formula>
    </cfRule>
  </conditionalFormatting>
  <conditionalFormatting sqref="B44:K51">
    <cfRule type="expression" dxfId="376" priority="13">
      <formula>$J44="ancien paiement"</formula>
    </cfRule>
  </conditionalFormatting>
  <conditionalFormatting sqref="B57:K62 B63:B174 E63:F174">
    <cfRule type="expression" dxfId="375" priority="14">
      <formula>$F57="ancien paiement"</formula>
    </cfRule>
    <cfRule type="expression" dxfId="374" priority="15">
      <formula>$J57="ancien paiement"</formula>
    </cfRule>
  </conditionalFormatting>
  <conditionalFormatting sqref="B176:K176">
    <cfRule type="expression" dxfId="373" priority="21">
      <formula>$F176="ancien paiement"</formula>
    </cfRule>
    <cfRule type="expression" dxfId="372" priority="22">
      <formula>$J176="ancien paiement"</formula>
    </cfRule>
  </conditionalFormatting>
  <conditionalFormatting sqref="B181:K196 B177:D177 E177:F178 B178 B179:K179 B180 E180:F180">
    <cfRule type="expression" dxfId="371" priority="26">
      <formula>$F177="ancien paiement"</formula>
    </cfRule>
    <cfRule type="expression" dxfId="370" priority="28">
      <formula>$J177="ancien paiement"</formula>
    </cfRule>
  </conditionalFormatting>
  <conditionalFormatting sqref="B54:L60 B51:L52 B53:D53">
    <cfRule type="cellIs" dxfId="369" priority="16" stopIfTrue="1" operator="equal">
      <formula>"OK"</formula>
    </cfRule>
  </conditionalFormatting>
  <conditionalFormatting sqref="E52">
    <cfRule type="expression" dxfId="368" priority="17">
      <formula>#REF!="ancien paiement"</formula>
    </cfRule>
  </conditionalFormatting>
  <conditionalFormatting sqref="E52:F55">
    <cfRule type="expression" dxfId="367" priority="9">
      <formula>$F52="ancien paiement"</formula>
    </cfRule>
    <cfRule type="expression" dxfId="366" priority="10">
      <formula>$J52="ancien paiement"</formula>
    </cfRule>
  </conditionalFormatting>
  <conditionalFormatting sqref="E4:I6">
    <cfRule type="cellIs" dxfId="365" priority="19" stopIfTrue="1" operator="equal">
      <formula>"OK"</formula>
    </cfRule>
  </conditionalFormatting>
  <conditionalFormatting sqref="E53:L53">
    <cfRule type="cellIs" dxfId="364" priority="11" stopIfTrue="1" operator="equal">
      <formula>"OK"</formula>
    </cfRule>
  </conditionalFormatting>
  <pageMargins left="0.7" right="0.7" top="0.75" bottom="0.75" header="0.3" footer="0.3"/>
  <pageSetup paperSize="9" scale="2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5E62-6A21-4C04-8436-17608FAC678D}">
  <sheetPr>
    <pageSetUpPr fitToPage="1"/>
  </sheetPr>
  <dimension ref="A1:N294"/>
  <sheetViews>
    <sheetView topLeftCell="A76" workbookViewId="0">
      <selection activeCell="L49" sqref="L49:L108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46127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845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6900</v>
      </c>
      <c r="G4" s="1" t="s">
        <v>846</v>
      </c>
      <c r="I4" s="112" t="s">
        <v>3</v>
      </c>
      <c r="J4" s="113"/>
      <c r="K4" s="114">
        <f>E287+C14</f>
        <v>6905.92</v>
      </c>
      <c r="L4" s="115"/>
      <c r="N4" s="6"/>
    </row>
    <row r="5" spans="2:14" ht="16.5" thickBot="1" x14ac:dyDescent="0.3">
      <c r="E5" s="7" t="s">
        <v>4</v>
      </c>
      <c r="F5" s="8">
        <v>4466.21</v>
      </c>
      <c r="G5" s="1" t="s">
        <v>847</v>
      </c>
      <c r="I5" s="95" t="s">
        <v>5</v>
      </c>
      <c r="J5" s="96"/>
      <c r="K5" s="97">
        <f>E15+E288</f>
        <v>4466.21</v>
      </c>
      <c r="L5" s="98"/>
      <c r="N5" s="6"/>
    </row>
    <row r="6" spans="2:14" ht="16.5" thickBot="1" x14ac:dyDescent="0.3">
      <c r="E6" s="9" t="s">
        <v>445</v>
      </c>
      <c r="F6" s="10">
        <v>6</v>
      </c>
      <c r="I6" s="95" t="s">
        <v>446</v>
      </c>
      <c r="J6" s="96"/>
      <c r="K6" s="97">
        <f>G15+E289</f>
        <v>64535.959999999992</v>
      </c>
      <c r="L6" s="98"/>
    </row>
    <row r="7" spans="2:14" ht="16.5" thickBot="1" x14ac:dyDescent="0.3">
      <c r="I7" s="99" t="s">
        <v>6</v>
      </c>
      <c r="J7" s="100"/>
      <c r="K7" s="101">
        <f>SUM(E115:E256)</f>
        <v>354933.51999999996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1550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1780</v>
      </c>
      <c r="D10" s="19" t="s">
        <v>471</v>
      </c>
      <c r="E10" s="49">
        <v>498.3</v>
      </c>
      <c r="F10" s="20" t="s">
        <v>9</v>
      </c>
      <c r="G10" s="21">
        <v>19899.16</v>
      </c>
      <c r="H10" s="6"/>
      <c r="I10" s="137" t="s">
        <v>635</v>
      </c>
      <c r="J10" s="138"/>
      <c r="K10" s="139"/>
      <c r="L10" s="21">
        <v>3.8</v>
      </c>
    </row>
    <row r="11" spans="2:14" ht="21.6" customHeight="1" x14ac:dyDescent="0.25">
      <c r="B11" s="17" t="s">
        <v>453</v>
      </c>
      <c r="C11" s="18">
        <v>2130</v>
      </c>
      <c r="D11" s="22" t="s">
        <v>422</v>
      </c>
      <c r="E11" s="50">
        <v>596.17999999999995</v>
      </c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>
        <v>60</v>
      </c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5520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276</v>
      </c>
      <c r="D15" s="28" t="s">
        <v>11</v>
      </c>
      <c r="E15" s="29">
        <f>SUM(E10:E14)</f>
        <v>1094.48</v>
      </c>
      <c r="F15" s="30" t="s">
        <v>11</v>
      </c>
      <c r="G15" s="31">
        <f>SUM(G10:G14)</f>
        <v>19899.16</v>
      </c>
      <c r="H15" s="6"/>
      <c r="I15" s="116" t="s">
        <v>457</v>
      </c>
      <c r="J15" s="117"/>
      <c r="K15" s="118"/>
      <c r="L15" s="32">
        <f>C15-'14'!C18</f>
        <v>-41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37.200000000000003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391</v>
      </c>
      <c r="B20" s="128" t="s">
        <v>392</v>
      </c>
      <c r="C20" s="129"/>
      <c r="D20" s="130"/>
      <c r="E20" s="20">
        <v>234.51</v>
      </c>
      <c r="F20" s="12" t="s">
        <v>393</v>
      </c>
      <c r="G20" s="51">
        <v>6375623</v>
      </c>
      <c r="H20" s="131"/>
      <c r="I20" s="132"/>
      <c r="J20" s="132"/>
      <c r="K20" s="133"/>
      <c r="L20" s="20" t="s">
        <v>71</v>
      </c>
    </row>
    <row r="21" spans="1:12" x14ac:dyDescent="0.25">
      <c r="A21" s="66" t="s">
        <v>397</v>
      </c>
      <c r="B21" s="143" t="s">
        <v>848</v>
      </c>
      <c r="C21" s="144"/>
      <c r="D21" s="145"/>
      <c r="E21" s="20">
        <v>448.11</v>
      </c>
      <c r="F21" s="23" t="s">
        <v>398</v>
      </c>
      <c r="G21" s="52">
        <v>473</v>
      </c>
      <c r="H21" s="146"/>
      <c r="I21" s="147"/>
      <c r="J21" s="147"/>
      <c r="K21" s="148"/>
      <c r="L21" s="23" t="s">
        <v>71</v>
      </c>
    </row>
    <row r="22" spans="1:12" x14ac:dyDescent="0.25">
      <c r="A22" s="66" t="s">
        <v>400</v>
      </c>
      <c r="B22" s="143" t="s">
        <v>509</v>
      </c>
      <c r="C22" s="144"/>
      <c r="D22" s="145"/>
      <c r="E22" s="20">
        <v>360.69</v>
      </c>
      <c r="F22" s="23" t="s">
        <v>242</v>
      </c>
      <c r="G22" s="52">
        <v>301</v>
      </c>
      <c r="H22" s="146"/>
      <c r="I22" s="147"/>
      <c r="J22" s="147"/>
      <c r="K22" s="148"/>
      <c r="L22" s="23" t="s">
        <v>71</v>
      </c>
    </row>
    <row r="23" spans="1:12" x14ac:dyDescent="0.25">
      <c r="A23" s="66" t="s">
        <v>244</v>
      </c>
      <c r="B23" s="143" t="s">
        <v>637</v>
      </c>
      <c r="C23" s="144"/>
      <c r="D23" s="145"/>
      <c r="E23" s="20">
        <v>341.5</v>
      </c>
      <c r="F23" s="23" t="s">
        <v>245</v>
      </c>
      <c r="G23" s="52">
        <v>7051123</v>
      </c>
      <c r="H23" s="146"/>
      <c r="I23" s="147"/>
      <c r="J23" s="147"/>
      <c r="K23" s="148"/>
      <c r="L23" s="23" t="s">
        <v>71</v>
      </c>
    </row>
    <row r="24" spans="1:12" x14ac:dyDescent="0.25">
      <c r="A24" s="66" t="s">
        <v>401</v>
      </c>
      <c r="B24" s="143" t="s">
        <v>402</v>
      </c>
      <c r="C24" s="144"/>
      <c r="D24" s="145"/>
      <c r="E24" s="20">
        <v>272.06</v>
      </c>
      <c r="F24" s="23" t="s">
        <v>88</v>
      </c>
      <c r="G24" s="52">
        <v>9427108</v>
      </c>
      <c r="H24" s="146"/>
      <c r="I24" s="147"/>
      <c r="J24" s="147"/>
      <c r="K24" s="148"/>
      <c r="L24" s="23" t="s">
        <v>71</v>
      </c>
    </row>
    <row r="25" spans="1:12" x14ac:dyDescent="0.25">
      <c r="A25" s="66" t="s">
        <v>403</v>
      </c>
      <c r="B25" s="143" t="s">
        <v>849</v>
      </c>
      <c r="C25" s="144"/>
      <c r="D25" s="145"/>
      <c r="E25" s="20">
        <v>392.07</v>
      </c>
      <c r="F25" s="23" t="s">
        <v>398</v>
      </c>
      <c r="G25" s="52">
        <v>9978480</v>
      </c>
      <c r="H25" s="146"/>
      <c r="I25" s="147"/>
      <c r="J25" s="147"/>
      <c r="K25" s="148"/>
      <c r="L25" s="23" t="s">
        <v>71</v>
      </c>
    </row>
    <row r="26" spans="1:12" x14ac:dyDescent="0.25">
      <c r="A26" s="66" t="s">
        <v>406</v>
      </c>
      <c r="B26" s="143" t="s">
        <v>848</v>
      </c>
      <c r="C26" s="144"/>
      <c r="D26" s="145"/>
      <c r="E26" s="20">
        <v>293.06</v>
      </c>
      <c r="F26" s="23" t="s">
        <v>88</v>
      </c>
      <c r="G26" s="52">
        <v>2640913</v>
      </c>
      <c r="H26" s="146"/>
      <c r="I26" s="147"/>
      <c r="J26" s="147"/>
      <c r="K26" s="148"/>
      <c r="L26" s="23" t="s">
        <v>71</v>
      </c>
    </row>
    <row r="27" spans="1:12" x14ac:dyDescent="0.25">
      <c r="A27" s="66" t="s">
        <v>410</v>
      </c>
      <c r="B27" s="143" t="s">
        <v>850</v>
      </c>
      <c r="C27" s="144"/>
      <c r="D27" s="145"/>
      <c r="E27" s="20">
        <v>1029.73</v>
      </c>
      <c r="F27" s="23" t="s">
        <v>411</v>
      </c>
      <c r="G27" s="52">
        <v>104</v>
      </c>
      <c r="H27" s="146"/>
      <c r="I27" s="147"/>
      <c r="J27" s="147"/>
      <c r="K27" s="148"/>
      <c r="L27" s="23" t="s">
        <v>71</v>
      </c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259</v>
      </c>
      <c r="B39" s="128" t="s">
        <v>643</v>
      </c>
      <c r="C39" s="129"/>
      <c r="D39" s="162"/>
      <c r="E39" s="41">
        <v>959.69</v>
      </c>
      <c r="F39" s="163"/>
      <c r="G39" s="164"/>
      <c r="H39" s="164"/>
      <c r="I39" s="164"/>
      <c r="J39" s="164"/>
      <c r="K39" s="165"/>
      <c r="L39" s="42" t="s">
        <v>71</v>
      </c>
    </row>
    <row r="40" spans="1:12" x14ac:dyDescent="0.25">
      <c r="A40" s="66" t="s">
        <v>396</v>
      </c>
      <c r="B40" s="143" t="s">
        <v>851</v>
      </c>
      <c r="C40" s="144"/>
      <c r="D40" s="158"/>
      <c r="E40" s="43">
        <v>426.23</v>
      </c>
      <c r="F40" s="159"/>
      <c r="G40" s="160"/>
      <c r="H40" s="160"/>
      <c r="I40" s="160"/>
      <c r="J40" s="160"/>
      <c r="K40" s="161"/>
      <c r="L40" s="23" t="s">
        <v>71</v>
      </c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1007</v>
      </c>
      <c r="C49" s="144"/>
      <c r="D49" s="158"/>
      <c r="E49" s="43">
        <v>357.6</v>
      </c>
      <c r="F49" s="86">
        <v>2.25</v>
      </c>
      <c r="G49" s="18">
        <v>355.35</v>
      </c>
      <c r="H49" s="164" t="s">
        <v>601</v>
      </c>
      <c r="I49" s="164"/>
      <c r="J49" s="164"/>
      <c r="K49" s="165"/>
      <c r="L49" s="20" t="s">
        <v>33</v>
      </c>
    </row>
    <row r="50" spans="1:12" x14ac:dyDescent="0.25">
      <c r="A50" s="66"/>
      <c r="B50" s="143" t="s">
        <v>1008</v>
      </c>
      <c r="C50" s="144"/>
      <c r="D50" s="158"/>
      <c r="E50" s="43">
        <v>1992.57</v>
      </c>
      <c r="F50" s="86">
        <v>40.1</v>
      </c>
      <c r="G50" s="18">
        <v>1952.47</v>
      </c>
      <c r="H50" s="160" t="s">
        <v>601</v>
      </c>
      <c r="I50" s="160"/>
      <c r="J50" s="160"/>
      <c r="K50" s="161"/>
      <c r="L50" s="20" t="s">
        <v>33</v>
      </c>
    </row>
    <row r="51" spans="1:12" x14ac:dyDescent="0.25">
      <c r="A51" s="66"/>
      <c r="B51" s="143" t="s">
        <v>1009</v>
      </c>
      <c r="C51" s="144"/>
      <c r="D51" s="158"/>
      <c r="E51" s="43">
        <v>331.15</v>
      </c>
      <c r="F51" s="86">
        <v>2.09</v>
      </c>
      <c r="G51" s="18">
        <v>329.06</v>
      </c>
      <c r="H51" s="160" t="s">
        <v>601</v>
      </c>
      <c r="I51" s="160"/>
      <c r="J51" s="160"/>
      <c r="K51" s="161"/>
      <c r="L51" s="20" t="s">
        <v>33</v>
      </c>
    </row>
    <row r="52" spans="1:12" x14ac:dyDescent="0.25">
      <c r="A52" s="66"/>
      <c r="B52" s="143" t="s">
        <v>1010</v>
      </c>
      <c r="C52" s="144"/>
      <c r="D52" s="158"/>
      <c r="E52" s="43">
        <v>377.3</v>
      </c>
      <c r="F52" s="86">
        <v>7.8</v>
      </c>
      <c r="G52" s="18">
        <v>369.5</v>
      </c>
      <c r="H52" s="160" t="s">
        <v>601</v>
      </c>
      <c r="I52" s="160"/>
      <c r="J52" s="160"/>
      <c r="K52" s="161"/>
      <c r="L52" s="20" t="s">
        <v>33</v>
      </c>
    </row>
    <row r="53" spans="1:12" x14ac:dyDescent="0.25">
      <c r="A53" s="66"/>
      <c r="B53" s="143" t="s">
        <v>1011</v>
      </c>
      <c r="C53" s="144"/>
      <c r="D53" s="158"/>
      <c r="E53" s="43">
        <v>335.61</v>
      </c>
      <c r="F53" s="86">
        <v>2.11</v>
      </c>
      <c r="G53" s="18">
        <v>333.5</v>
      </c>
      <c r="H53" s="160" t="s">
        <v>601</v>
      </c>
      <c r="I53" s="160"/>
      <c r="J53" s="160"/>
      <c r="K53" s="161"/>
      <c r="L53" s="20" t="s">
        <v>33</v>
      </c>
    </row>
    <row r="54" spans="1:12" x14ac:dyDescent="0.25">
      <c r="A54" s="66"/>
      <c r="B54" s="143" t="s">
        <v>1012</v>
      </c>
      <c r="C54" s="144"/>
      <c r="D54" s="158"/>
      <c r="E54" s="43">
        <v>333.91</v>
      </c>
      <c r="F54" s="86">
        <v>2.1</v>
      </c>
      <c r="G54" s="18">
        <v>331.81</v>
      </c>
      <c r="H54" s="160" t="s">
        <v>601</v>
      </c>
      <c r="I54" s="160"/>
      <c r="J54" s="160"/>
      <c r="K54" s="161"/>
      <c r="L54" s="20" t="s">
        <v>33</v>
      </c>
    </row>
    <row r="55" spans="1:12" x14ac:dyDescent="0.25">
      <c r="A55" s="66"/>
      <c r="B55" s="192" t="s">
        <v>1013</v>
      </c>
      <c r="C55" s="144"/>
      <c r="D55" s="158"/>
      <c r="E55" s="43">
        <v>847.72</v>
      </c>
      <c r="F55" s="86">
        <v>5.19</v>
      </c>
      <c r="G55" s="18">
        <v>842.53</v>
      </c>
      <c r="H55" s="160" t="s">
        <v>601</v>
      </c>
      <c r="I55" s="160"/>
      <c r="J55" s="160"/>
      <c r="K55" s="161"/>
      <c r="L55" s="20" t="s">
        <v>33</v>
      </c>
    </row>
    <row r="56" spans="1:12" x14ac:dyDescent="0.25">
      <c r="A56" s="66"/>
      <c r="B56" s="143" t="s">
        <v>1014</v>
      </c>
      <c r="C56" s="144"/>
      <c r="D56" s="158"/>
      <c r="E56" s="43">
        <v>354.93</v>
      </c>
      <c r="F56" s="86">
        <v>2.23</v>
      </c>
      <c r="G56" s="18">
        <v>352.7</v>
      </c>
      <c r="H56" s="160" t="s">
        <v>601</v>
      </c>
      <c r="I56" s="160"/>
      <c r="J56" s="160"/>
      <c r="K56" s="161"/>
      <c r="L56" s="20" t="s">
        <v>33</v>
      </c>
    </row>
    <row r="57" spans="1:12" x14ac:dyDescent="0.25">
      <c r="A57" s="66"/>
      <c r="B57" s="143" t="s">
        <v>1015</v>
      </c>
      <c r="C57" s="144"/>
      <c r="D57" s="158"/>
      <c r="E57" s="43">
        <v>590.41999999999996</v>
      </c>
      <c r="F57" s="86">
        <v>12.06</v>
      </c>
      <c r="G57" s="18">
        <v>578.36</v>
      </c>
      <c r="H57" s="160" t="s">
        <v>601</v>
      </c>
      <c r="I57" s="160"/>
      <c r="J57" s="160"/>
      <c r="K57" s="161"/>
      <c r="L57" s="20" t="s">
        <v>33</v>
      </c>
    </row>
    <row r="58" spans="1:12" x14ac:dyDescent="0.25">
      <c r="A58" s="66"/>
      <c r="B58" s="143" t="s">
        <v>1016</v>
      </c>
      <c r="C58" s="144"/>
      <c r="D58" s="158"/>
      <c r="E58" s="43">
        <v>337.51</v>
      </c>
      <c r="F58" s="86">
        <v>2.13</v>
      </c>
      <c r="G58" s="18">
        <v>335.38</v>
      </c>
      <c r="H58" s="160" t="s">
        <v>601</v>
      </c>
      <c r="I58" s="160"/>
      <c r="J58" s="160"/>
      <c r="K58" s="161"/>
      <c r="L58" s="20" t="s">
        <v>33</v>
      </c>
    </row>
    <row r="59" spans="1:12" x14ac:dyDescent="0.25">
      <c r="A59" s="66"/>
      <c r="B59" s="143" t="s">
        <v>1017</v>
      </c>
      <c r="C59" s="144"/>
      <c r="D59" s="158"/>
      <c r="E59" s="43">
        <v>995.04</v>
      </c>
      <c r="F59" s="86">
        <v>20.149999999999999</v>
      </c>
      <c r="G59" s="18">
        <v>974.89</v>
      </c>
      <c r="H59" s="160" t="s">
        <v>601</v>
      </c>
      <c r="I59" s="160"/>
      <c r="J59" s="160"/>
      <c r="K59" s="161"/>
      <c r="L59" s="20" t="s">
        <v>33</v>
      </c>
    </row>
    <row r="60" spans="1:12" x14ac:dyDescent="0.25">
      <c r="A60" s="66"/>
      <c r="B60" s="143" t="s">
        <v>1018</v>
      </c>
      <c r="C60" s="144"/>
      <c r="D60" s="158"/>
      <c r="E60" s="43">
        <v>467.24</v>
      </c>
      <c r="F60" s="86">
        <v>2.9</v>
      </c>
      <c r="G60" s="18">
        <v>464.34</v>
      </c>
      <c r="H60" s="160" t="s">
        <v>601</v>
      </c>
      <c r="I60" s="160"/>
      <c r="J60" s="160"/>
      <c r="K60" s="161"/>
      <c r="L60" s="20" t="s">
        <v>33</v>
      </c>
    </row>
    <row r="61" spans="1:12" x14ac:dyDescent="0.25">
      <c r="A61" s="66"/>
      <c r="B61" s="143" t="s">
        <v>1019</v>
      </c>
      <c r="C61" s="144"/>
      <c r="D61" s="158"/>
      <c r="E61" s="43">
        <v>369.35</v>
      </c>
      <c r="F61" s="86">
        <v>2.3199999999999998</v>
      </c>
      <c r="G61" s="18">
        <v>367.03</v>
      </c>
      <c r="H61" s="160" t="s">
        <v>601</v>
      </c>
      <c r="I61" s="160"/>
      <c r="J61" s="160"/>
      <c r="K61" s="161"/>
      <c r="L61" s="20" t="s">
        <v>33</v>
      </c>
    </row>
    <row r="62" spans="1:12" x14ac:dyDescent="0.25">
      <c r="A62" s="66"/>
      <c r="B62" s="143" t="s">
        <v>1020</v>
      </c>
      <c r="C62" s="144"/>
      <c r="D62" s="158"/>
      <c r="E62" s="43">
        <v>324.56</v>
      </c>
      <c r="F62" s="86">
        <v>2.0499999999999998</v>
      </c>
      <c r="G62" s="18">
        <v>322.51</v>
      </c>
      <c r="H62" s="160" t="s">
        <v>601</v>
      </c>
      <c r="I62" s="160"/>
      <c r="J62" s="160"/>
      <c r="K62" s="161"/>
      <c r="L62" s="20" t="s">
        <v>33</v>
      </c>
    </row>
    <row r="63" spans="1:12" x14ac:dyDescent="0.25">
      <c r="A63" s="66"/>
      <c r="B63" s="143" t="s">
        <v>1021</v>
      </c>
      <c r="C63" s="144"/>
      <c r="D63" s="158"/>
      <c r="E63" s="43">
        <v>414.54</v>
      </c>
      <c r="F63" s="86">
        <v>2.59</v>
      </c>
      <c r="G63" s="18">
        <v>411.95</v>
      </c>
      <c r="H63" s="160" t="s">
        <v>601</v>
      </c>
      <c r="I63" s="160"/>
      <c r="J63" s="160"/>
      <c r="K63" s="161"/>
      <c r="L63" s="20" t="s">
        <v>33</v>
      </c>
    </row>
    <row r="64" spans="1:12" x14ac:dyDescent="0.25">
      <c r="A64" s="66"/>
      <c r="B64" s="143" t="s">
        <v>1022</v>
      </c>
      <c r="C64" s="144"/>
      <c r="D64" s="158"/>
      <c r="E64" s="43">
        <v>763.89</v>
      </c>
      <c r="F64" s="86">
        <v>4.68</v>
      </c>
      <c r="G64" s="18">
        <v>759.21</v>
      </c>
      <c r="H64" s="160" t="s">
        <v>601</v>
      </c>
      <c r="I64" s="160"/>
      <c r="J64" s="160"/>
      <c r="K64" s="161"/>
      <c r="L64" s="20" t="s">
        <v>33</v>
      </c>
    </row>
    <row r="65" spans="1:12" x14ac:dyDescent="0.25">
      <c r="A65" s="66"/>
      <c r="B65" s="143" t="s">
        <v>1023</v>
      </c>
      <c r="C65" s="144"/>
      <c r="D65" s="158"/>
      <c r="E65" s="43">
        <v>319.87</v>
      </c>
      <c r="F65" s="86">
        <v>2.02</v>
      </c>
      <c r="G65" s="18">
        <v>317.85000000000002</v>
      </c>
      <c r="H65" s="160" t="s">
        <v>601</v>
      </c>
      <c r="I65" s="160"/>
      <c r="J65" s="160"/>
      <c r="K65" s="161"/>
      <c r="L65" s="20" t="s">
        <v>33</v>
      </c>
    </row>
    <row r="66" spans="1:12" x14ac:dyDescent="0.25">
      <c r="A66" s="66"/>
      <c r="B66" s="143" t="s">
        <v>1024</v>
      </c>
      <c r="C66" s="144"/>
      <c r="D66" s="158"/>
      <c r="E66" s="43">
        <v>345.12</v>
      </c>
      <c r="F66" s="86">
        <v>2.17</v>
      </c>
      <c r="G66" s="18">
        <v>342.95</v>
      </c>
      <c r="H66" s="160" t="s">
        <v>601</v>
      </c>
      <c r="I66" s="160"/>
      <c r="J66" s="160"/>
      <c r="K66" s="161"/>
      <c r="L66" s="20" t="s">
        <v>33</v>
      </c>
    </row>
    <row r="67" spans="1:12" x14ac:dyDescent="0.25">
      <c r="A67" s="66"/>
      <c r="B67" s="143" t="s">
        <v>1025</v>
      </c>
      <c r="C67" s="144"/>
      <c r="D67" s="158"/>
      <c r="E67" s="43">
        <v>339.31</v>
      </c>
      <c r="F67" s="86">
        <v>2.14</v>
      </c>
      <c r="G67" s="18">
        <v>337.17</v>
      </c>
      <c r="H67" s="160" t="s">
        <v>601</v>
      </c>
      <c r="I67" s="160"/>
      <c r="J67" s="160"/>
      <c r="K67" s="161"/>
      <c r="L67" s="20" t="s">
        <v>33</v>
      </c>
    </row>
    <row r="68" spans="1:12" x14ac:dyDescent="0.25">
      <c r="A68" s="66"/>
      <c r="B68" s="143" t="s">
        <v>1026</v>
      </c>
      <c r="C68" s="144"/>
      <c r="D68" s="158"/>
      <c r="E68" s="43">
        <v>1448.75</v>
      </c>
      <c r="F68" s="86">
        <v>8.7899999999999991</v>
      </c>
      <c r="G68" s="18">
        <v>1439.96</v>
      </c>
      <c r="H68" s="160" t="s">
        <v>601</v>
      </c>
      <c r="I68" s="160"/>
      <c r="J68" s="160"/>
      <c r="K68" s="161"/>
      <c r="L68" s="20" t="s">
        <v>33</v>
      </c>
    </row>
    <row r="69" spans="1:12" x14ac:dyDescent="0.25">
      <c r="A69" s="66"/>
      <c r="B69" s="143" t="s">
        <v>1027</v>
      </c>
      <c r="C69" s="144"/>
      <c r="D69" s="158"/>
      <c r="E69" s="43">
        <v>1383.32</v>
      </c>
      <c r="F69" s="86">
        <v>8.4</v>
      </c>
      <c r="G69" s="18">
        <v>1374.92</v>
      </c>
      <c r="H69" s="160" t="s">
        <v>601</v>
      </c>
      <c r="I69" s="160"/>
      <c r="J69" s="160"/>
      <c r="K69" s="161"/>
      <c r="L69" s="20" t="s">
        <v>33</v>
      </c>
    </row>
    <row r="70" spans="1:12" x14ac:dyDescent="0.25">
      <c r="A70" s="66"/>
      <c r="B70" s="143" t="s">
        <v>1028</v>
      </c>
      <c r="C70" s="144"/>
      <c r="D70" s="158"/>
      <c r="E70" s="43">
        <v>499.62</v>
      </c>
      <c r="F70" s="86">
        <v>3.1</v>
      </c>
      <c r="G70" s="18">
        <v>496.52</v>
      </c>
      <c r="H70" s="160" t="s">
        <v>601</v>
      </c>
      <c r="I70" s="160"/>
      <c r="J70" s="160"/>
      <c r="K70" s="161"/>
      <c r="L70" s="20" t="s">
        <v>33</v>
      </c>
    </row>
    <row r="71" spans="1:12" x14ac:dyDescent="0.25">
      <c r="A71" s="66"/>
      <c r="B71" s="192" t="s">
        <v>1029</v>
      </c>
      <c r="C71" s="144"/>
      <c r="D71" s="158"/>
      <c r="E71" s="43">
        <v>326.83999999999997</v>
      </c>
      <c r="F71" s="86">
        <v>6.79</v>
      </c>
      <c r="G71" s="18">
        <v>320.05</v>
      </c>
      <c r="H71" s="160" t="s">
        <v>601</v>
      </c>
      <c r="I71" s="160"/>
      <c r="J71" s="160"/>
      <c r="K71" s="161"/>
      <c r="L71" s="20" t="s">
        <v>33</v>
      </c>
    </row>
    <row r="72" spans="1:12" x14ac:dyDescent="0.25">
      <c r="A72" s="66"/>
      <c r="B72" s="143" t="s">
        <v>1030</v>
      </c>
      <c r="C72" s="144"/>
      <c r="D72" s="158"/>
      <c r="E72" s="43">
        <v>387.06</v>
      </c>
      <c r="F72" s="86">
        <v>0</v>
      </c>
      <c r="G72" s="18">
        <v>387.06</v>
      </c>
      <c r="H72" s="160" t="s">
        <v>601</v>
      </c>
      <c r="I72" s="160"/>
      <c r="J72" s="160"/>
      <c r="K72" s="161"/>
      <c r="L72" s="20" t="s">
        <v>33</v>
      </c>
    </row>
    <row r="73" spans="1:12" x14ac:dyDescent="0.25">
      <c r="A73" s="66"/>
      <c r="B73" s="143" t="s">
        <v>1031</v>
      </c>
      <c r="C73" s="144"/>
      <c r="D73" s="158"/>
      <c r="E73" s="43">
        <v>1380.65</v>
      </c>
      <c r="F73" s="86">
        <v>27.86</v>
      </c>
      <c r="G73" s="18">
        <v>1352.79</v>
      </c>
      <c r="H73" s="160" t="s">
        <v>601</v>
      </c>
      <c r="I73" s="160"/>
      <c r="J73" s="160"/>
      <c r="K73" s="161"/>
      <c r="L73" s="20" t="s">
        <v>33</v>
      </c>
    </row>
    <row r="74" spans="1:12" x14ac:dyDescent="0.25">
      <c r="A74" s="66"/>
      <c r="B74" s="143" t="s">
        <v>1032</v>
      </c>
      <c r="C74" s="144"/>
      <c r="D74" s="158"/>
      <c r="E74" s="43">
        <v>826.6</v>
      </c>
      <c r="F74" s="86">
        <v>28.93</v>
      </c>
      <c r="G74" s="18">
        <v>797.67</v>
      </c>
      <c r="H74" s="160" t="s">
        <v>601</v>
      </c>
      <c r="I74" s="160"/>
      <c r="J74" s="160"/>
      <c r="K74" s="161"/>
      <c r="L74" s="20" t="s">
        <v>33</v>
      </c>
    </row>
    <row r="75" spans="1:12" x14ac:dyDescent="0.25">
      <c r="A75" s="66"/>
      <c r="B75" s="143" t="s">
        <v>1033</v>
      </c>
      <c r="C75" s="144"/>
      <c r="D75" s="158"/>
      <c r="E75" s="43">
        <v>350.17</v>
      </c>
      <c r="F75" s="86">
        <v>2.2000000000000002</v>
      </c>
      <c r="G75" s="18">
        <v>347.97</v>
      </c>
      <c r="H75" s="160" t="s">
        <v>601</v>
      </c>
      <c r="I75" s="160"/>
      <c r="J75" s="160"/>
      <c r="K75" s="161"/>
      <c r="L75" s="20" t="s">
        <v>33</v>
      </c>
    </row>
    <row r="76" spans="1:12" x14ac:dyDescent="0.25">
      <c r="A76" s="66"/>
      <c r="B76" s="192" t="s">
        <v>1034</v>
      </c>
      <c r="C76" s="144"/>
      <c r="D76" s="158"/>
      <c r="E76" s="43">
        <v>348.06</v>
      </c>
      <c r="F76" s="86">
        <v>7.21</v>
      </c>
      <c r="G76" s="18">
        <v>340.85</v>
      </c>
      <c r="H76" s="160" t="s">
        <v>601</v>
      </c>
      <c r="I76" s="160"/>
      <c r="J76" s="160"/>
      <c r="K76" s="161"/>
      <c r="L76" s="20" t="s">
        <v>33</v>
      </c>
    </row>
    <row r="77" spans="1:12" x14ac:dyDescent="0.25">
      <c r="A77" s="66"/>
      <c r="B77" s="143" t="s">
        <v>1035</v>
      </c>
      <c r="C77" s="144"/>
      <c r="D77" s="158"/>
      <c r="E77" s="43">
        <v>371.53</v>
      </c>
      <c r="F77" s="86">
        <v>2.33</v>
      </c>
      <c r="G77" s="18">
        <v>369.2</v>
      </c>
      <c r="H77" s="160" t="s">
        <v>601</v>
      </c>
      <c r="I77" s="160"/>
      <c r="J77" s="160"/>
      <c r="K77" s="161"/>
      <c r="L77" s="20" t="s">
        <v>33</v>
      </c>
    </row>
    <row r="78" spans="1:12" x14ac:dyDescent="0.25">
      <c r="A78" s="66"/>
      <c r="B78" s="143" t="s">
        <v>1036</v>
      </c>
      <c r="C78" s="144"/>
      <c r="D78" s="158"/>
      <c r="E78" s="43">
        <v>354.48</v>
      </c>
      <c r="F78" s="86">
        <v>2.23</v>
      </c>
      <c r="G78" s="18">
        <v>352.25</v>
      </c>
      <c r="H78" s="160" t="s">
        <v>601</v>
      </c>
      <c r="I78" s="160"/>
      <c r="J78" s="160"/>
      <c r="K78" s="161"/>
      <c r="L78" s="20" t="s">
        <v>33</v>
      </c>
    </row>
    <row r="79" spans="1:12" x14ac:dyDescent="0.25">
      <c r="A79" s="66"/>
      <c r="B79" s="143" t="s">
        <v>1037</v>
      </c>
      <c r="C79" s="144"/>
      <c r="D79" s="158"/>
      <c r="E79" s="43">
        <v>753</v>
      </c>
      <c r="F79" s="86">
        <v>4.62</v>
      </c>
      <c r="G79" s="18">
        <v>748.38</v>
      </c>
      <c r="H79" s="160" t="s">
        <v>601</v>
      </c>
      <c r="I79" s="160"/>
      <c r="J79" s="160"/>
      <c r="K79" s="161"/>
      <c r="L79" s="20" t="s">
        <v>33</v>
      </c>
    </row>
    <row r="80" spans="1:12" x14ac:dyDescent="0.25">
      <c r="A80" s="66"/>
      <c r="B80" s="143" t="s">
        <v>1038</v>
      </c>
      <c r="C80" s="144"/>
      <c r="D80" s="158"/>
      <c r="E80" s="43">
        <v>381.89</v>
      </c>
      <c r="F80" s="86">
        <v>2.39</v>
      </c>
      <c r="G80" s="18">
        <v>379.5</v>
      </c>
      <c r="H80" s="160" t="s">
        <v>601</v>
      </c>
      <c r="I80" s="160"/>
      <c r="J80" s="160"/>
      <c r="K80" s="161"/>
      <c r="L80" s="20" t="s">
        <v>33</v>
      </c>
    </row>
    <row r="81" spans="1:12" x14ac:dyDescent="0.25">
      <c r="A81" s="66"/>
      <c r="B81" s="143" t="s">
        <v>1039</v>
      </c>
      <c r="C81" s="144"/>
      <c r="D81" s="158"/>
      <c r="E81" s="43">
        <v>1500.59</v>
      </c>
      <c r="F81" s="86">
        <v>9.1</v>
      </c>
      <c r="G81" s="18">
        <v>1491.49</v>
      </c>
      <c r="H81" s="160" t="s">
        <v>601</v>
      </c>
      <c r="I81" s="160"/>
      <c r="J81" s="160"/>
      <c r="K81" s="161"/>
      <c r="L81" s="20" t="s">
        <v>33</v>
      </c>
    </row>
    <row r="82" spans="1:12" x14ac:dyDescent="0.25">
      <c r="A82" s="66"/>
      <c r="B82" s="143" t="s">
        <v>1040</v>
      </c>
      <c r="C82" s="144"/>
      <c r="D82" s="158"/>
      <c r="E82" s="43">
        <v>596.26</v>
      </c>
      <c r="F82" s="86">
        <v>3.68</v>
      </c>
      <c r="G82" s="18">
        <v>592.58000000000004</v>
      </c>
      <c r="H82" s="160" t="s">
        <v>601</v>
      </c>
      <c r="I82" s="160"/>
      <c r="J82" s="160"/>
      <c r="K82" s="161"/>
      <c r="L82" s="20" t="s">
        <v>33</v>
      </c>
    </row>
    <row r="83" spans="1:12" x14ac:dyDescent="0.25">
      <c r="A83" s="66"/>
      <c r="B83" s="143" t="s">
        <v>1041</v>
      </c>
      <c r="C83" s="144"/>
      <c r="D83" s="158"/>
      <c r="E83" s="43">
        <v>316.60000000000002</v>
      </c>
      <c r="F83" s="86">
        <v>2</v>
      </c>
      <c r="G83" s="18">
        <v>314.60000000000002</v>
      </c>
      <c r="H83" s="160" t="s">
        <v>601</v>
      </c>
      <c r="I83" s="160"/>
      <c r="J83" s="160"/>
      <c r="K83" s="161"/>
      <c r="L83" s="20" t="s">
        <v>33</v>
      </c>
    </row>
    <row r="84" spans="1:12" x14ac:dyDescent="0.25">
      <c r="A84" s="66"/>
      <c r="B84" s="143" t="s">
        <v>1042</v>
      </c>
      <c r="C84" s="144"/>
      <c r="D84" s="158"/>
      <c r="E84" s="43">
        <v>370.98</v>
      </c>
      <c r="F84" s="86">
        <v>2.33</v>
      </c>
      <c r="G84" s="18">
        <v>368.65</v>
      </c>
      <c r="H84" s="160" t="s">
        <v>601</v>
      </c>
      <c r="I84" s="160"/>
      <c r="J84" s="160"/>
      <c r="K84" s="161"/>
      <c r="L84" s="20" t="s">
        <v>33</v>
      </c>
    </row>
    <row r="85" spans="1:12" x14ac:dyDescent="0.25">
      <c r="A85" s="66"/>
      <c r="B85" s="143" t="s">
        <v>1043</v>
      </c>
      <c r="C85" s="144"/>
      <c r="D85" s="158"/>
      <c r="E85" s="43">
        <v>332.07</v>
      </c>
      <c r="F85" s="86">
        <v>2.09</v>
      </c>
      <c r="G85" s="18">
        <v>329.98</v>
      </c>
      <c r="H85" s="160" t="s">
        <v>601</v>
      </c>
      <c r="I85" s="160"/>
      <c r="J85" s="160"/>
      <c r="K85" s="161"/>
      <c r="L85" s="20" t="s">
        <v>33</v>
      </c>
    </row>
    <row r="86" spans="1:12" x14ac:dyDescent="0.25">
      <c r="A86" s="66"/>
      <c r="B86" s="143" t="s">
        <v>1044</v>
      </c>
      <c r="C86" s="144"/>
      <c r="D86" s="158"/>
      <c r="E86" s="43">
        <v>1413.2</v>
      </c>
      <c r="F86" s="86">
        <v>8.58</v>
      </c>
      <c r="G86" s="18">
        <v>1404.62</v>
      </c>
      <c r="H86" s="160" t="s">
        <v>601</v>
      </c>
      <c r="I86" s="160"/>
      <c r="J86" s="160"/>
      <c r="K86" s="161"/>
      <c r="L86" s="20" t="s">
        <v>33</v>
      </c>
    </row>
    <row r="87" spans="1:12" x14ac:dyDescent="0.25">
      <c r="A87" s="66"/>
      <c r="B87" s="143" t="s">
        <v>1045</v>
      </c>
      <c r="C87" s="144"/>
      <c r="D87" s="158"/>
      <c r="E87" s="43">
        <v>496.42</v>
      </c>
      <c r="F87" s="86">
        <v>3.08</v>
      </c>
      <c r="G87" s="18">
        <v>493.34</v>
      </c>
      <c r="H87" s="160" t="s">
        <v>601</v>
      </c>
      <c r="I87" s="160"/>
      <c r="J87" s="160"/>
      <c r="K87" s="161"/>
      <c r="L87" s="20" t="s">
        <v>33</v>
      </c>
    </row>
    <row r="88" spans="1:12" x14ac:dyDescent="0.25">
      <c r="A88" s="66"/>
      <c r="B88" s="143" t="s">
        <v>1046</v>
      </c>
      <c r="C88" s="144"/>
      <c r="D88" s="158"/>
      <c r="E88" s="43">
        <v>496.22</v>
      </c>
      <c r="F88" s="86">
        <v>3.08</v>
      </c>
      <c r="G88" s="18">
        <v>493.14</v>
      </c>
      <c r="H88" s="160" t="s">
        <v>601</v>
      </c>
      <c r="I88" s="160"/>
      <c r="J88" s="160"/>
      <c r="K88" s="161"/>
      <c r="L88" s="20" t="s">
        <v>33</v>
      </c>
    </row>
    <row r="89" spans="1:12" x14ac:dyDescent="0.25">
      <c r="A89" s="66"/>
      <c r="B89" s="143" t="s">
        <v>1047</v>
      </c>
      <c r="C89" s="144"/>
      <c r="D89" s="158"/>
      <c r="E89" s="43">
        <v>1374.38</v>
      </c>
      <c r="F89" s="86">
        <v>8.35</v>
      </c>
      <c r="G89" s="18">
        <v>1366.03</v>
      </c>
      <c r="H89" s="160" t="s">
        <v>601</v>
      </c>
      <c r="I89" s="160"/>
      <c r="J89" s="160"/>
      <c r="K89" s="161"/>
      <c r="L89" s="20" t="s">
        <v>33</v>
      </c>
    </row>
    <row r="90" spans="1:12" x14ac:dyDescent="0.25">
      <c r="A90" s="66"/>
      <c r="B90" s="143" t="s">
        <v>1048</v>
      </c>
      <c r="C90" s="144"/>
      <c r="D90" s="158"/>
      <c r="E90" s="43">
        <v>983.92</v>
      </c>
      <c r="F90" s="86">
        <v>6</v>
      </c>
      <c r="G90" s="18">
        <v>977.92</v>
      </c>
      <c r="H90" s="160" t="s">
        <v>601</v>
      </c>
      <c r="I90" s="160"/>
      <c r="J90" s="160"/>
      <c r="K90" s="161"/>
      <c r="L90" s="20" t="s">
        <v>33</v>
      </c>
    </row>
    <row r="91" spans="1:12" x14ac:dyDescent="0.25">
      <c r="A91" s="66"/>
      <c r="B91" s="143" t="s">
        <v>1049</v>
      </c>
      <c r="C91" s="144"/>
      <c r="D91" s="158"/>
      <c r="E91" s="43">
        <v>906.99</v>
      </c>
      <c r="F91" s="86">
        <v>18.39</v>
      </c>
      <c r="G91" s="18">
        <v>888.6</v>
      </c>
      <c r="H91" s="160" t="s">
        <v>601</v>
      </c>
      <c r="I91" s="160"/>
      <c r="J91" s="160"/>
      <c r="K91" s="161"/>
      <c r="L91" s="20" t="s">
        <v>33</v>
      </c>
    </row>
    <row r="92" spans="1:12" x14ac:dyDescent="0.25">
      <c r="A92" s="66"/>
      <c r="B92" s="143" t="s">
        <v>1050</v>
      </c>
      <c r="C92" s="144"/>
      <c r="D92" s="158"/>
      <c r="E92" s="43">
        <v>2085.7800000000002</v>
      </c>
      <c r="F92" s="86">
        <v>12.61</v>
      </c>
      <c r="G92" s="18">
        <v>2073.17</v>
      </c>
      <c r="H92" s="160" t="s">
        <v>601</v>
      </c>
      <c r="I92" s="160"/>
      <c r="J92" s="160"/>
      <c r="K92" s="161"/>
      <c r="L92" s="20" t="s">
        <v>33</v>
      </c>
    </row>
    <row r="93" spans="1:12" x14ac:dyDescent="0.25">
      <c r="A93" s="66"/>
      <c r="B93" s="143" t="s">
        <v>1051</v>
      </c>
      <c r="C93" s="144"/>
      <c r="D93" s="158"/>
      <c r="E93" s="43">
        <v>1395.42</v>
      </c>
      <c r="F93" s="86">
        <v>8.4700000000000006</v>
      </c>
      <c r="G93" s="18">
        <v>1386.95</v>
      </c>
      <c r="H93" s="160" t="s">
        <v>601</v>
      </c>
      <c r="I93" s="160"/>
      <c r="J93" s="160"/>
      <c r="K93" s="161"/>
      <c r="L93" s="20" t="s">
        <v>33</v>
      </c>
    </row>
    <row r="94" spans="1:12" x14ac:dyDescent="0.25">
      <c r="A94" s="66"/>
      <c r="B94" s="192" t="s">
        <v>1052</v>
      </c>
      <c r="C94" s="144"/>
      <c r="D94" s="158"/>
      <c r="E94" s="43">
        <v>429.57</v>
      </c>
      <c r="F94" s="86">
        <v>8.84</v>
      </c>
      <c r="G94" s="18">
        <v>420.73</v>
      </c>
      <c r="H94" s="160" t="s">
        <v>601</v>
      </c>
      <c r="I94" s="160"/>
      <c r="J94" s="160"/>
      <c r="K94" s="161"/>
      <c r="L94" s="20" t="s">
        <v>33</v>
      </c>
    </row>
    <row r="95" spans="1:12" x14ac:dyDescent="0.25">
      <c r="A95" s="66"/>
      <c r="B95" s="143" t="s">
        <v>1053</v>
      </c>
      <c r="C95" s="144"/>
      <c r="D95" s="158"/>
      <c r="E95" s="43">
        <v>656.39</v>
      </c>
      <c r="F95" s="86">
        <v>4.04</v>
      </c>
      <c r="G95" s="18">
        <v>652.35</v>
      </c>
      <c r="H95" s="160" t="s">
        <v>601</v>
      </c>
      <c r="I95" s="160"/>
      <c r="J95" s="160"/>
      <c r="K95" s="161"/>
      <c r="L95" s="20" t="s">
        <v>33</v>
      </c>
    </row>
    <row r="96" spans="1:12" x14ac:dyDescent="0.25">
      <c r="A96" s="66"/>
      <c r="B96" s="143" t="s">
        <v>1054</v>
      </c>
      <c r="C96" s="144"/>
      <c r="D96" s="158"/>
      <c r="E96" s="43">
        <v>358.4</v>
      </c>
      <c r="F96" s="86">
        <v>7.42</v>
      </c>
      <c r="G96" s="18">
        <v>350.98</v>
      </c>
      <c r="H96" s="160" t="s">
        <v>601</v>
      </c>
      <c r="I96" s="160"/>
      <c r="J96" s="160"/>
      <c r="K96" s="161"/>
      <c r="L96" s="20" t="s">
        <v>33</v>
      </c>
    </row>
    <row r="97" spans="1:12" x14ac:dyDescent="0.25">
      <c r="A97" s="66"/>
      <c r="B97" s="143" t="s">
        <v>1055</v>
      </c>
      <c r="C97" s="144"/>
      <c r="D97" s="158"/>
      <c r="E97" s="43">
        <v>738.4</v>
      </c>
      <c r="F97" s="86">
        <v>4.53</v>
      </c>
      <c r="G97" s="18">
        <v>733.87</v>
      </c>
      <c r="H97" s="160" t="s">
        <v>601</v>
      </c>
      <c r="I97" s="160"/>
      <c r="J97" s="160"/>
      <c r="K97" s="161"/>
      <c r="L97" s="20" t="s">
        <v>33</v>
      </c>
    </row>
    <row r="98" spans="1:12" x14ac:dyDescent="0.25">
      <c r="A98" s="66"/>
      <c r="B98" s="143" t="s">
        <v>1056</v>
      </c>
      <c r="C98" s="144"/>
      <c r="D98" s="158"/>
      <c r="E98" s="43">
        <v>386.4</v>
      </c>
      <c r="F98" s="86">
        <v>2.42</v>
      </c>
      <c r="G98" s="18">
        <v>383.98</v>
      </c>
      <c r="H98" s="160" t="s">
        <v>601</v>
      </c>
      <c r="I98" s="160"/>
      <c r="J98" s="160"/>
      <c r="K98" s="161"/>
      <c r="L98" s="20" t="s">
        <v>33</v>
      </c>
    </row>
    <row r="99" spans="1:12" x14ac:dyDescent="0.25">
      <c r="A99" s="66"/>
      <c r="B99" s="143" t="s">
        <v>1057</v>
      </c>
      <c r="C99" s="144"/>
      <c r="D99" s="158"/>
      <c r="E99" s="43">
        <v>3531.95</v>
      </c>
      <c r="F99" s="86">
        <v>123.62</v>
      </c>
      <c r="G99" s="18">
        <v>3408.33</v>
      </c>
      <c r="H99" s="160" t="s">
        <v>601</v>
      </c>
      <c r="I99" s="160"/>
      <c r="J99" s="160"/>
      <c r="K99" s="161"/>
      <c r="L99" s="20" t="s">
        <v>33</v>
      </c>
    </row>
    <row r="100" spans="1:12" x14ac:dyDescent="0.25">
      <c r="A100" s="66"/>
      <c r="B100" s="143" t="s">
        <v>1058</v>
      </c>
      <c r="C100" s="144"/>
      <c r="D100" s="158"/>
      <c r="E100" s="43">
        <v>358.06</v>
      </c>
      <c r="F100" s="86">
        <v>7.41</v>
      </c>
      <c r="G100" s="18">
        <v>350.65</v>
      </c>
      <c r="H100" s="160" t="s">
        <v>601</v>
      </c>
      <c r="I100" s="160"/>
      <c r="J100" s="160"/>
      <c r="K100" s="161"/>
      <c r="L100" s="20" t="s">
        <v>33</v>
      </c>
    </row>
    <row r="101" spans="1:12" x14ac:dyDescent="0.25">
      <c r="A101" s="66"/>
      <c r="B101" s="143" t="s">
        <v>1059</v>
      </c>
      <c r="C101" s="144"/>
      <c r="D101" s="158"/>
      <c r="E101" s="43">
        <v>1525.6</v>
      </c>
      <c r="F101" s="86">
        <v>9.25</v>
      </c>
      <c r="G101" s="18">
        <v>1516.35</v>
      </c>
      <c r="H101" s="160" t="s">
        <v>601</v>
      </c>
      <c r="I101" s="160"/>
      <c r="J101" s="160"/>
      <c r="K101" s="161"/>
      <c r="L101" s="20" t="s">
        <v>33</v>
      </c>
    </row>
    <row r="102" spans="1:12" x14ac:dyDescent="0.25">
      <c r="A102" s="66"/>
      <c r="B102" s="143" t="s">
        <v>1060</v>
      </c>
      <c r="C102" s="144"/>
      <c r="D102" s="158"/>
      <c r="E102" s="43">
        <v>324.63</v>
      </c>
      <c r="F102" s="86">
        <v>2.0499999999999998</v>
      </c>
      <c r="G102" s="18">
        <v>322.58</v>
      </c>
      <c r="H102" s="160" t="s">
        <v>601</v>
      </c>
      <c r="I102" s="160"/>
      <c r="J102" s="160"/>
      <c r="K102" s="161"/>
      <c r="L102" s="20" t="s">
        <v>33</v>
      </c>
    </row>
    <row r="103" spans="1:12" x14ac:dyDescent="0.25">
      <c r="A103" s="66"/>
      <c r="B103" s="143" t="s">
        <v>1061</v>
      </c>
      <c r="C103" s="144"/>
      <c r="D103" s="158"/>
      <c r="E103" s="43">
        <v>414.54</v>
      </c>
      <c r="F103" s="86">
        <v>2.59</v>
      </c>
      <c r="G103" s="18">
        <v>411.95</v>
      </c>
      <c r="H103" s="160" t="s">
        <v>601</v>
      </c>
      <c r="I103" s="160"/>
      <c r="J103" s="160"/>
      <c r="K103" s="161"/>
      <c r="L103" s="20" t="s">
        <v>33</v>
      </c>
    </row>
    <row r="104" spans="1:12" x14ac:dyDescent="0.25">
      <c r="A104" s="66"/>
      <c r="B104" s="143" t="s">
        <v>1062</v>
      </c>
      <c r="C104" s="144"/>
      <c r="D104" s="158"/>
      <c r="E104" s="43">
        <v>327.14</v>
      </c>
      <c r="F104" s="86">
        <v>2.06</v>
      </c>
      <c r="G104" s="18">
        <v>325.08</v>
      </c>
      <c r="H104" s="160" t="s">
        <v>601</v>
      </c>
      <c r="I104" s="160"/>
      <c r="J104" s="160"/>
      <c r="K104" s="161"/>
      <c r="L104" s="20" t="s">
        <v>33</v>
      </c>
    </row>
    <row r="105" spans="1:12" x14ac:dyDescent="0.25">
      <c r="A105" s="66"/>
      <c r="B105" s="143" t="s">
        <v>1063</v>
      </c>
      <c r="C105" s="144"/>
      <c r="D105" s="158"/>
      <c r="E105" s="43">
        <v>774.18</v>
      </c>
      <c r="F105" s="86">
        <v>4.75</v>
      </c>
      <c r="G105" s="18">
        <v>769.43</v>
      </c>
      <c r="H105" s="160" t="s">
        <v>601</v>
      </c>
      <c r="I105" s="160"/>
      <c r="J105" s="160"/>
      <c r="K105" s="161"/>
      <c r="L105" s="20" t="s">
        <v>33</v>
      </c>
    </row>
    <row r="106" spans="1:12" x14ac:dyDescent="0.25">
      <c r="A106" s="66"/>
      <c r="B106" s="143" t="s">
        <v>1064</v>
      </c>
      <c r="C106" s="144"/>
      <c r="D106" s="158"/>
      <c r="E106" s="43">
        <v>868.35</v>
      </c>
      <c r="F106" s="86">
        <v>5.31</v>
      </c>
      <c r="G106" s="18">
        <v>863.04</v>
      </c>
      <c r="H106" s="160" t="s">
        <v>601</v>
      </c>
      <c r="I106" s="160"/>
      <c r="J106" s="160"/>
      <c r="K106" s="161"/>
      <c r="L106" s="20" t="s">
        <v>33</v>
      </c>
    </row>
    <row r="107" spans="1:12" x14ac:dyDescent="0.25">
      <c r="A107" s="66"/>
      <c r="B107" s="143" t="s">
        <v>1065</v>
      </c>
      <c r="C107" s="144"/>
      <c r="D107" s="158"/>
      <c r="E107" s="43">
        <v>582.77</v>
      </c>
      <c r="F107" s="86">
        <v>3.6</v>
      </c>
      <c r="G107" s="18">
        <v>579.16999999999996</v>
      </c>
      <c r="H107" s="160" t="s">
        <v>601</v>
      </c>
      <c r="I107" s="160"/>
      <c r="J107" s="160"/>
      <c r="K107" s="161"/>
      <c r="L107" s="20" t="s">
        <v>33</v>
      </c>
    </row>
    <row r="108" spans="1:12" ht="16.5" thickBot="1" x14ac:dyDescent="0.3">
      <c r="A108" s="66"/>
      <c r="B108" s="143" t="s">
        <v>1066</v>
      </c>
      <c r="C108" s="144"/>
      <c r="D108" s="158"/>
      <c r="E108" s="43">
        <v>2081.98</v>
      </c>
      <c r="F108" s="86">
        <v>12.59</v>
      </c>
      <c r="G108" s="18">
        <v>2069.39</v>
      </c>
      <c r="H108" s="160" t="s">
        <v>601</v>
      </c>
      <c r="I108" s="160"/>
      <c r="J108" s="160"/>
      <c r="K108" s="161"/>
      <c r="L108" s="20" t="s">
        <v>33</v>
      </c>
    </row>
    <row r="109" spans="1:12" ht="16.5" thickBot="1" x14ac:dyDescent="0.3">
      <c r="A109" s="71" t="s">
        <v>458</v>
      </c>
      <c r="B109" s="166" t="s">
        <v>462</v>
      </c>
      <c r="C109" s="167"/>
      <c r="D109" s="168"/>
      <c r="E109" s="36" t="s">
        <v>8</v>
      </c>
      <c r="F109" s="119" t="s">
        <v>15</v>
      </c>
      <c r="G109" s="120"/>
      <c r="H109" s="120"/>
      <c r="I109" s="120"/>
      <c r="J109" s="120"/>
      <c r="K109" s="121"/>
      <c r="L109" s="39" t="s">
        <v>16</v>
      </c>
    </row>
    <row r="110" spans="1:12" x14ac:dyDescent="0.25">
      <c r="A110" s="66"/>
      <c r="B110" s="143"/>
      <c r="C110" s="144">
        <v>802.36</v>
      </c>
      <c r="D110" s="158" t="s">
        <v>18</v>
      </c>
      <c r="E110" s="43"/>
      <c r="F110" s="163"/>
      <c r="G110" s="164"/>
      <c r="H110" s="164"/>
      <c r="I110" s="164"/>
      <c r="J110" s="164"/>
      <c r="K110" s="165"/>
      <c r="L110" s="20"/>
    </row>
    <row r="111" spans="1:12" x14ac:dyDescent="0.25">
      <c r="A111" s="66"/>
      <c r="B111" s="143"/>
      <c r="C111" s="144">
        <v>675.28</v>
      </c>
      <c r="D111" s="158" t="s">
        <v>19</v>
      </c>
      <c r="E111" s="43"/>
      <c r="F111" s="159"/>
      <c r="G111" s="160"/>
      <c r="H111" s="160"/>
      <c r="I111" s="160"/>
      <c r="J111" s="160"/>
      <c r="K111" s="161"/>
      <c r="L111" s="23"/>
    </row>
    <row r="112" spans="1:12" x14ac:dyDescent="0.25">
      <c r="A112" s="66"/>
      <c r="B112" s="143"/>
      <c r="C112" s="144">
        <v>689.72</v>
      </c>
      <c r="D112" s="158" t="s">
        <v>19</v>
      </c>
      <c r="E112" s="43"/>
      <c r="F112" s="159"/>
      <c r="G112" s="160"/>
      <c r="H112" s="160"/>
      <c r="I112" s="160"/>
      <c r="J112" s="160"/>
      <c r="K112" s="161"/>
      <c r="L112" s="23"/>
    </row>
    <row r="113" spans="1:12" ht="16.5" thickBot="1" x14ac:dyDescent="0.3">
      <c r="A113" s="66"/>
      <c r="B113" s="143"/>
      <c r="C113" s="144">
        <v>340.26</v>
      </c>
      <c r="D113" s="158" t="s">
        <v>20</v>
      </c>
      <c r="E113" s="43"/>
      <c r="F113" s="159"/>
      <c r="G113" s="160"/>
      <c r="H113" s="160"/>
      <c r="I113" s="160"/>
      <c r="J113" s="160"/>
      <c r="K113" s="161"/>
      <c r="L113" s="23"/>
    </row>
    <row r="114" spans="1:12" ht="16.5" thickBot="1" x14ac:dyDescent="0.3">
      <c r="A114" s="71" t="s">
        <v>458</v>
      </c>
      <c r="B114" s="166" t="s">
        <v>17</v>
      </c>
      <c r="C114" s="167"/>
      <c r="D114" s="168"/>
      <c r="E114" s="36" t="s">
        <v>8</v>
      </c>
      <c r="F114" s="119" t="s">
        <v>15</v>
      </c>
      <c r="G114" s="120"/>
      <c r="H114" s="120"/>
      <c r="I114" s="120"/>
      <c r="J114" s="120"/>
      <c r="K114" s="121"/>
      <c r="L114" s="39" t="s">
        <v>16</v>
      </c>
    </row>
    <row r="115" spans="1:12" x14ac:dyDescent="0.25">
      <c r="A115" s="66"/>
      <c r="B115" s="128" t="s">
        <v>761</v>
      </c>
      <c r="C115" s="129"/>
      <c r="D115" s="162"/>
      <c r="E115" s="43">
        <v>905.12</v>
      </c>
      <c r="F115" s="163"/>
      <c r="G115" s="164"/>
      <c r="H115" s="164"/>
      <c r="I115" s="164"/>
      <c r="J115" s="164"/>
      <c r="K115" s="165"/>
      <c r="L115" s="23" t="s">
        <v>33</v>
      </c>
    </row>
    <row r="116" spans="1:12" x14ac:dyDescent="0.25">
      <c r="A116" s="66"/>
      <c r="B116" s="143" t="s">
        <v>732</v>
      </c>
      <c r="C116" s="144"/>
      <c r="D116" s="158"/>
      <c r="E116" s="43">
        <v>532</v>
      </c>
      <c r="F116" s="159"/>
      <c r="G116" s="160"/>
      <c r="H116" s="160"/>
      <c r="I116" s="160"/>
      <c r="J116" s="160"/>
      <c r="K116" s="161"/>
      <c r="L116" s="23" t="s">
        <v>33</v>
      </c>
    </row>
    <row r="117" spans="1:12" x14ac:dyDescent="0.25">
      <c r="A117" s="66"/>
      <c r="B117" s="143" t="s">
        <v>798</v>
      </c>
      <c r="C117" s="144"/>
      <c r="D117" s="158"/>
      <c r="E117" s="43">
        <v>551.89</v>
      </c>
      <c r="F117" s="159"/>
      <c r="G117" s="160"/>
      <c r="H117" s="160"/>
      <c r="I117" s="160"/>
      <c r="J117" s="160"/>
      <c r="K117" s="161"/>
      <c r="L117" s="23" t="s">
        <v>33</v>
      </c>
    </row>
    <row r="118" spans="1:12" x14ac:dyDescent="0.25">
      <c r="A118" s="66"/>
      <c r="B118" s="143" t="s">
        <v>798</v>
      </c>
      <c r="C118" s="144"/>
      <c r="D118" s="158"/>
      <c r="E118" s="43">
        <v>530.88</v>
      </c>
      <c r="F118" s="159"/>
      <c r="G118" s="160"/>
      <c r="H118" s="160"/>
      <c r="I118" s="160"/>
      <c r="J118" s="160"/>
      <c r="K118" s="161"/>
      <c r="L118" s="23" t="s">
        <v>33</v>
      </c>
    </row>
    <row r="119" spans="1:12" x14ac:dyDescent="0.25">
      <c r="A119" s="66"/>
      <c r="B119" s="143" t="s">
        <v>732</v>
      </c>
      <c r="C119" s="144"/>
      <c r="D119" s="158"/>
      <c r="E119" s="43">
        <v>75.760000000000005</v>
      </c>
      <c r="F119" s="159"/>
      <c r="G119" s="160"/>
      <c r="H119" s="160"/>
      <c r="I119" s="160"/>
      <c r="J119" s="160"/>
      <c r="K119" s="161"/>
      <c r="L119" s="23" t="s">
        <v>33</v>
      </c>
    </row>
    <row r="120" spans="1:12" x14ac:dyDescent="0.25">
      <c r="A120" s="66"/>
      <c r="B120" s="143" t="s">
        <v>921</v>
      </c>
      <c r="C120" s="144"/>
      <c r="D120" s="158"/>
      <c r="E120" s="43">
        <v>14301.29</v>
      </c>
      <c r="F120" s="159"/>
      <c r="G120" s="160"/>
      <c r="H120" s="160"/>
      <c r="I120" s="160"/>
      <c r="J120" s="160"/>
      <c r="K120" s="161"/>
      <c r="L120" s="23" t="s">
        <v>33</v>
      </c>
    </row>
    <row r="121" spans="1:12" x14ac:dyDescent="0.25">
      <c r="A121" s="66"/>
      <c r="B121" s="143" t="s">
        <v>922</v>
      </c>
      <c r="C121" s="144"/>
      <c r="D121" s="158"/>
      <c r="E121" s="43">
        <v>4825.3</v>
      </c>
      <c r="F121" s="159"/>
      <c r="G121" s="160"/>
      <c r="H121" s="160"/>
      <c r="I121" s="160"/>
      <c r="J121" s="160"/>
      <c r="K121" s="161"/>
      <c r="L121" s="23" t="s">
        <v>33</v>
      </c>
    </row>
    <row r="122" spans="1:12" x14ac:dyDescent="0.25">
      <c r="A122" s="66"/>
      <c r="B122" s="143" t="s">
        <v>844</v>
      </c>
      <c r="C122" s="144"/>
      <c r="D122" s="158"/>
      <c r="E122" s="43">
        <v>863.78</v>
      </c>
      <c r="F122" s="159"/>
      <c r="G122" s="160"/>
      <c r="H122" s="160"/>
      <c r="I122" s="160"/>
      <c r="J122" s="160"/>
      <c r="K122" s="161"/>
      <c r="L122" s="23" t="s">
        <v>33</v>
      </c>
    </row>
    <row r="123" spans="1:12" x14ac:dyDescent="0.25">
      <c r="A123" s="66"/>
      <c r="B123" s="143" t="s">
        <v>207</v>
      </c>
      <c r="C123" s="144"/>
      <c r="D123" s="158"/>
      <c r="E123" s="43">
        <v>11309.74</v>
      </c>
      <c r="F123" s="159"/>
      <c r="G123" s="160"/>
      <c r="H123" s="160"/>
      <c r="I123" s="160"/>
      <c r="J123" s="160"/>
      <c r="K123" s="161"/>
      <c r="L123" s="23" t="s">
        <v>33</v>
      </c>
    </row>
    <row r="124" spans="1:12" x14ac:dyDescent="0.25">
      <c r="A124" s="66"/>
      <c r="B124" s="143" t="s">
        <v>752</v>
      </c>
      <c r="C124" s="144"/>
      <c r="D124" s="158"/>
      <c r="E124" s="43">
        <v>650.30999999999995</v>
      </c>
      <c r="F124" s="159"/>
      <c r="G124" s="160"/>
      <c r="H124" s="160"/>
      <c r="I124" s="160"/>
      <c r="J124" s="160"/>
      <c r="K124" s="161"/>
      <c r="L124" s="23" t="s">
        <v>33</v>
      </c>
    </row>
    <row r="125" spans="1:12" x14ac:dyDescent="0.25">
      <c r="A125" s="66"/>
      <c r="B125" s="143" t="s">
        <v>788</v>
      </c>
      <c r="C125" s="144"/>
      <c r="D125" s="158"/>
      <c r="E125" s="43">
        <v>283.51</v>
      </c>
      <c r="F125" s="159"/>
      <c r="G125" s="160"/>
      <c r="H125" s="160"/>
      <c r="I125" s="160"/>
      <c r="J125" s="160"/>
      <c r="K125" s="161"/>
      <c r="L125" s="23" t="s">
        <v>33</v>
      </c>
    </row>
    <row r="126" spans="1:12" x14ac:dyDescent="0.25">
      <c r="A126" s="66"/>
      <c r="B126" s="143" t="s">
        <v>844</v>
      </c>
      <c r="C126" s="144"/>
      <c r="D126" s="158"/>
      <c r="E126" s="43">
        <v>2819.66</v>
      </c>
      <c r="F126" s="159"/>
      <c r="G126" s="160"/>
      <c r="H126" s="160"/>
      <c r="I126" s="160"/>
      <c r="J126" s="160"/>
      <c r="K126" s="161"/>
      <c r="L126" s="23" t="s">
        <v>33</v>
      </c>
    </row>
    <row r="127" spans="1:12" x14ac:dyDescent="0.25">
      <c r="A127" s="66"/>
      <c r="B127" s="143" t="s">
        <v>923</v>
      </c>
      <c r="C127" s="144"/>
      <c r="D127" s="158"/>
      <c r="E127" s="43">
        <v>9391.7199999999993</v>
      </c>
      <c r="F127" s="159"/>
      <c r="G127" s="160"/>
      <c r="H127" s="160"/>
      <c r="I127" s="160"/>
      <c r="J127" s="160"/>
      <c r="K127" s="161"/>
      <c r="L127" s="23" t="s">
        <v>33</v>
      </c>
    </row>
    <row r="128" spans="1:12" x14ac:dyDescent="0.25">
      <c r="A128" s="66"/>
      <c r="B128" s="143" t="s">
        <v>924</v>
      </c>
      <c r="C128" s="144"/>
      <c r="D128" s="158"/>
      <c r="E128" s="43">
        <v>4208.88</v>
      </c>
      <c r="F128" s="159"/>
      <c r="G128" s="160"/>
      <c r="H128" s="160"/>
      <c r="I128" s="160"/>
      <c r="J128" s="160"/>
      <c r="K128" s="161"/>
      <c r="L128" s="23" t="s">
        <v>33</v>
      </c>
    </row>
    <row r="129" spans="1:12" x14ac:dyDescent="0.25">
      <c r="A129" s="66"/>
      <c r="B129" s="143" t="s">
        <v>782</v>
      </c>
      <c r="C129" s="144"/>
      <c r="D129" s="158"/>
      <c r="E129" s="43">
        <v>333.8</v>
      </c>
      <c r="F129" s="159"/>
      <c r="G129" s="160"/>
      <c r="H129" s="160"/>
      <c r="I129" s="160"/>
      <c r="J129" s="160"/>
      <c r="K129" s="161"/>
      <c r="L129" s="23" t="s">
        <v>33</v>
      </c>
    </row>
    <row r="130" spans="1:12" x14ac:dyDescent="0.25">
      <c r="A130" s="66"/>
      <c r="B130" s="143" t="s">
        <v>878</v>
      </c>
      <c r="C130" s="144"/>
      <c r="D130" s="158"/>
      <c r="E130" s="43">
        <v>327.33</v>
      </c>
      <c r="F130" s="159"/>
      <c r="G130" s="160"/>
      <c r="H130" s="160"/>
      <c r="I130" s="160"/>
      <c r="J130" s="160"/>
      <c r="K130" s="161"/>
      <c r="L130" s="23" t="s">
        <v>33</v>
      </c>
    </row>
    <row r="131" spans="1:12" x14ac:dyDescent="0.25">
      <c r="A131" s="66"/>
      <c r="B131" s="143" t="s">
        <v>746</v>
      </c>
      <c r="C131" s="144"/>
      <c r="D131" s="158"/>
      <c r="E131" s="43">
        <v>296.33999999999997</v>
      </c>
      <c r="F131" s="159"/>
      <c r="G131" s="160"/>
      <c r="H131" s="160"/>
      <c r="I131" s="160"/>
      <c r="J131" s="160"/>
      <c r="K131" s="161"/>
      <c r="L131" s="23" t="s">
        <v>33</v>
      </c>
    </row>
    <row r="132" spans="1:12" x14ac:dyDescent="0.25">
      <c r="A132" s="66"/>
      <c r="B132" s="143" t="s">
        <v>765</v>
      </c>
      <c r="C132" s="144"/>
      <c r="D132" s="158"/>
      <c r="E132" s="43">
        <v>371.49</v>
      </c>
      <c r="F132" s="159"/>
      <c r="G132" s="160"/>
      <c r="H132" s="160"/>
      <c r="I132" s="160"/>
      <c r="J132" s="160"/>
      <c r="K132" s="161"/>
      <c r="L132" s="23" t="s">
        <v>33</v>
      </c>
    </row>
    <row r="133" spans="1:12" x14ac:dyDescent="0.25">
      <c r="A133" s="66"/>
      <c r="B133" s="143" t="s">
        <v>922</v>
      </c>
      <c r="C133" s="144"/>
      <c r="D133" s="158"/>
      <c r="E133" s="43">
        <v>30</v>
      </c>
      <c r="F133" s="159"/>
      <c r="G133" s="160"/>
      <c r="H133" s="160"/>
      <c r="I133" s="160"/>
      <c r="J133" s="160"/>
      <c r="K133" s="161"/>
      <c r="L133" s="23" t="s">
        <v>33</v>
      </c>
    </row>
    <row r="134" spans="1:12" x14ac:dyDescent="0.25">
      <c r="A134" s="66"/>
      <c r="B134" s="143" t="s">
        <v>746</v>
      </c>
      <c r="C134" s="144"/>
      <c r="D134" s="158"/>
      <c r="E134" s="43">
        <v>155.22</v>
      </c>
      <c r="F134" s="159"/>
      <c r="G134" s="160"/>
      <c r="H134" s="160"/>
      <c r="I134" s="160"/>
      <c r="J134" s="160"/>
      <c r="K134" s="161"/>
      <c r="L134" s="23" t="s">
        <v>33</v>
      </c>
    </row>
    <row r="135" spans="1:12" x14ac:dyDescent="0.25">
      <c r="A135" s="66"/>
      <c r="B135" s="143" t="s">
        <v>764</v>
      </c>
      <c r="C135" s="144"/>
      <c r="D135" s="158"/>
      <c r="E135" s="43">
        <v>421.77</v>
      </c>
      <c r="F135" s="159"/>
      <c r="G135" s="160"/>
      <c r="H135" s="160"/>
      <c r="I135" s="160"/>
      <c r="J135" s="160"/>
      <c r="K135" s="161"/>
      <c r="L135" s="23" t="s">
        <v>33</v>
      </c>
    </row>
    <row r="136" spans="1:12" x14ac:dyDescent="0.25">
      <c r="A136" s="66"/>
      <c r="B136" s="143" t="s">
        <v>726</v>
      </c>
      <c r="C136" s="144"/>
      <c r="D136" s="158"/>
      <c r="E136" s="43">
        <v>223.63</v>
      </c>
      <c r="F136" s="159"/>
      <c r="G136" s="160"/>
      <c r="H136" s="160"/>
      <c r="I136" s="160"/>
      <c r="J136" s="160"/>
      <c r="K136" s="161"/>
      <c r="L136" s="23" t="s">
        <v>33</v>
      </c>
    </row>
    <row r="137" spans="1:12" x14ac:dyDescent="0.25">
      <c r="A137" s="66"/>
      <c r="B137" s="143" t="s">
        <v>791</v>
      </c>
      <c r="C137" s="144"/>
      <c r="D137" s="158"/>
      <c r="E137" s="43">
        <v>390.97</v>
      </c>
      <c r="F137" s="159"/>
      <c r="G137" s="160"/>
      <c r="H137" s="160"/>
      <c r="I137" s="160"/>
      <c r="J137" s="160"/>
      <c r="K137" s="161"/>
      <c r="L137" s="23" t="s">
        <v>33</v>
      </c>
    </row>
    <row r="138" spans="1:12" x14ac:dyDescent="0.25">
      <c r="A138" s="66"/>
      <c r="B138" s="143" t="s">
        <v>925</v>
      </c>
      <c r="C138" s="144"/>
      <c r="D138" s="158"/>
      <c r="E138" s="43">
        <v>401.24</v>
      </c>
      <c r="F138" s="159"/>
      <c r="G138" s="160"/>
      <c r="H138" s="160"/>
      <c r="I138" s="160"/>
      <c r="J138" s="160"/>
      <c r="K138" s="161"/>
      <c r="L138" s="23" t="s">
        <v>33</v>
      </c>
    </row>
    <row r="139" spans="1:12" x14ac:dyDescent="0.25">
      <c r="A139" s="66"/>
      <c r="B139" s="143" t="s">
        <v>903</v>
      </c>
      <c r="C139" s="144"/>
      <c r="D139" s="158"/>
      <c r="E139" s="43">
        <v>500.05</v>
      </c>
      <c r="F139" s="159"/>
      <c r="G139" s="160"/>
      <c r="H139" s="160"/>
      <c r="I139" s="160"/>
      <c r="J139" s="160"/>
      <c r="K139" s="161"/>
      <c r="L139" s="23" t="s">
        <v>33</v>
      </c>
    </row>
    <row r="140" spans="1:12" x14ac:dyDescent="0.25">
      <c r="A140" s="66"/>
      <c r="B140" s="143" t="s">
        <v>736</v>
      </c>
      <c r="C140" s="144"/>
      <c r="D140" s="158"/>
      <c r="E140" s="43">
        <v>64.78</v>
      </c>
      <c r="F140" s="159"/>
      <c r="G140" s="160"/>
      <c r="H140" s="160"/>
      <c r="I140" s="160"/>
      <c r="J140" s="160"/>
      <c r="K140" s="161"/>
      <c r="L140" s="23" t="s">
        <v>33</v>
      </c>
    </row>
    <row r="141" spans="1:12" x14ac:dyDescent="0.25">
      <c r="A141" s="66"/>
      <c r="B141" s="143" t="s">
        <v>738</v>
      </c>
      <c r="C141" s="144"/>
      <c r="D141" s="158"/>
      <c r="E141" s="43">
        <v>728.16</v>
      </c>
      <c r="F141" s="159"/>
      <c r="G141" s="160"/>
      <c r="H141" s="160"/>
      <c r="I141" s="160"/>
      <c r="J141" s="160"/>
      <c r="K141" s="161"/>
      <c r="L141" s="23" t="s">
        <v>33</v>
      </c>
    </row>
    <row r="142" spans="1:12" x14ac:dyDescent="0.25">
      <c r="A142" s="66"/>
      <c r="B142" s="143" t="s">
        <v>926</v>
      </c>
      <c r="C142" s="144"/>
      <c r="D142" s="158"/>
      <c r="E142" s="43">
        <v>1059.19</v>
      </c>
      <c r="F142" s="159"/>
      <c r="G142" s="160"/>
      <c r="H142" s="160"/>
      <c r="I142" s="160"/>
      <c r="J142" s="160"/>
      <c r="K142" s="161"/>
      <c r="L142" s="23" t="s">
        <v>33</v>
      </c>
    </row>
    <row r="143" spans="1:12" x14ac:dyDescent="0.25">
      <c r="A143" s="66"/>
      <c r="B143" s="143" t="s">
        <v>751</v>
      </c>
      <c r="C143" s="144"/>
      <c r="D143" s="158"/>
      <c r="E143" s="43">
        <v>2285.54</v>
      </c>
      <c r="F143" s="159"/>
      <c r="G143" s="160"/>
      <c r="H143" s="160"/>
      <c r="I143" s="160"/>
      <c r="J143" s="160"/>
      <c r="K143" s="161"/>
      <c r="L143" s="23" t="s">
        <v>33</v>
      </c>
    </row>
    <row r="144" spans="1:12" x14ac:dyDescent="0.25">
      <c r="A144" s="66"/>
      <c r="B144" s="143" t="s">
        <v>556</v>
      </c>
      <c r="C144" s="144"/>
      <c r="D144" s="158"/>
      <c r="E144" s="43">
        <v>461.98</v>
      </c>
      <c r="F144" s="159"/>
      <c r="G144" s="160"/>
      <c r="H144" s="160"/>
      <c r="I144" s="160"/>
      <c r="J144" s="160"/>
      <c r="K144" s="161"/>
      <c r="L144" s="23" t="s">
        <v>33</v>
      </c>
    </row>
    <row r="145" spans="1:12" x14ac:dyDescent="0.25">
      <c r="A145" s="66"/>
      <c r="B145" s="143" t="s">
        <v>751</v>
      </c>
      <c r="C145" s="144"/>
      <c r="D145" s="158"/>
      <c r="E145" s="43">
        <v>2036.74</v>
      </c>
      <c r="F145" s="159"/>
      <c r="G145" s="160"/>
      <c r="H145" s="160"/>
      <c r="I145" s="160"/>
      <c r="J145" s="160"/>
      <c r="K145" s="161"/>
      <c r="L145" s="23" t="s">
        <v>33</v>
      </c>
    </row>
    <row r="146" spans="1:12" x14ac:dyDescent="0.25">
      <c r="A146" s="66"/>
      <c r="B146" s="143" t="s">
        <v>729</v>
      </c>
      <c r="C146" s="144"/>
      <c r="D146" s="158"/>
      <c r="E146" s="43">
        <v>278.39</v>
      </c>
      <c r="F146" s="159"/>
      <c r="G146" s="160"/>
      <c r="H146" s="160"/>
      <c r="I146" s="160"/>
      <c r="J146" s="160"/>
      <c r="K146" s="161"/>
      <c r="L146" s="23" t="s">
        <v>33</v>
      </c>
    </row>
    <row r="147" spans="1:12" x14ac:dyDescent="0.25">
      <c r="A147" s="66"/>
      <c r="B147" s="143" t="s">
        <v>726</v>
      </c>
      <c r="C147" s="144"/>
      <c r="D147" s="158"/>
      <c r="E147" s="43">
        <v>357.13</v>
      </c>
      <c r="F147" s="159"/>
      <c r="G147" s="160"/>
      <c r="H147" s="160"/>
      <c r="I147" s="160"/>
      <c r="J147" s="160"/>
      <c r="K147" s="161"/>
      <c r="L147" s="23" t="s">
        <v>33</v>
      </c>
    </row>
    <row r="148" spans="1:12" x14ac:dyDescent="0.25">
      <c r="A148" s="66"/>
      <c r="B148" s="143" t="s">
        <v>891</v>
      </c>
      <c r="C148" s="144"/>
      <c r="D148" s="158"/>
      <c r="E148" s="43">
        <v>420.63</v>
      </c>
      <c r="F148" s="159"/>
      <c r="G148" s="160"/>
      <c r="H148" s="160"/>
      <c r="I148" s="160"/>
      <c r="J148" s="160"/>
      <c r="K148" s="161"/>
      <c r="L148" s="23" t="s">
        <v>33</v>
      </c>
    </row>
    <row r="149" spans="1:12" x14ac:dyDescent="0.25">
      <c r="A149" s="66"/>
      <c r="B149" s="143" t="s">
        <v>762</v>
      </c>
      <c r="C149" s="144"/>
      <c r="D149" s="158"/>
      <c r="E149" s="43">
        <v>306.37</v>
      </c>
      <c r="F149" s="159"/>
      <c r="G149" s="160"/>
      <c r="H149" s="160"/>
      <c r="I149" s="160"/>
      <c r="J149" s="160"/>
      <c r="K149" s="161"/>
      <c r="L149" s="23" t="s">
        <v>33</v>
      </c>
    </row>
    <row r="150" spans="1:12" x14ac:dyDescent="0.25">
      <c r="A150" s="66"/>
      <c r="B150" s="143" t="s">
        <v>746</v>
      </c>
      <c r="C150" s="144"/>
      <c r="D150" s="158"/>
      <c r="E150" s="43">
        <v>428.67</v>
      </c>
      <c r="F150" s="159"/>
      <c r="G150" s="160"/>
      <c r="H150" s="160"/>
      <c r="I150" s="160"/>
      <c r="J150" s="160"/>
      <c r="K150" s="161"/>
      <c r="L150" s="23" t="s">
        <v>33</v>
      </c>
    </row>
    <row r="151" spans="1:12" x14ac:dyDescent="0.25">
      <c r="A151" s="66"/>
      <c r="B151" s="143" t="s">
        <v>800</v>
      </c>
      <c r="C151" s="144"/>
      <c r="D151" s="158"/>
      <c r="E151" s="43">
        <v>401.7</v>
      </c>
      <c r="F151" s="159"/>
      <c r="G151" s="160"/>
      <c r="H151" s="160"/>
      <c r="I151" s="160"/>
      <c r="J151" s="160"/>
      <c r="K151" s="161"/>
      <c r="L151" s="23" t="s">
        <v>33</v>
      </c>
    </row>
    <row r="152" spans="1:12" x14ac:dyDescent="0.25">
      <c r="A152" s="66"/>
      <c r="B152" s="143" t="s">
        <v>872</v>
      </c>
      <c r="C152" s="144"/>
      <c r="D152" s="158"/>
      <c r="E152" s="43">
        <v>228.25</v>
      </c>
      <c r="F152" s="159"/>
      <c r="G152" s="160"/>
      <c r="H152" s="160"/>
      <c r="I152" s="160"/>
      <c r="J152" s="160"/>
      <c r="K152" s="161"/>
      <c r="L152" s="23" t="s">
        <v>33</v>
      </c>
    </row>
    <row r="153" spans="1:12" x14ac:dyDescent="0.25">
      <c r="A153" s="66"/>
      <c r="B153" s="143" t="s">
        <v>733</v>
      </c>
      <c r="C153" s="144"/>
      <c r="D153" s="158"/>
      <c r="E153" s="43">
        <v>300.66000000000003</v>
      </c>
      <c r="F153" s="159"/>
      <c r="G153" s="160"/>
      <c r="H153" s="160"/>
      <c r="I153" s="160"/>
      <c r="J153" s="160"/>
      <c r="K153" s="161"/>
      <c r="L153" s="23" t="s">
        <v>33</v>
      </c>
    </row>
    <row r="154" spans="1:12" x14ac:dyDescent="0.25">
      <c r="A154" s="66"/>
      <c r="B154" s="143" t="s">
        <v>736</v>
      </c>
      <c r="C154" s="144"/>
      <c r="D154" s="158"/>
      <c r="E154" s="43">
        <v>210.85</v>
      </c>
      <c r="F154" s="159"/>
      <c r="G154" s="160"/>
      <c r="H154" s="160"/>
      <c r="I154" s="160"/>
      <c r="J154" s="160"/>
      <c r="K154" s="161"/>
      <c r="L154" s="23" t="s">
        <v>33</v>
      </c>
    </row>
    <row r="155" spans="1:12" x14ac:dyDescent="0.25">
      <c r="A155" s="66"/>
      <c r="B155" s="143" t="s">
        <v>908</v>
      </c>
      <c r="C155" s="144"/>
      <c r="D155" s="158"/>
      <c r="E155" s="43">
        <v>382.36</v>
      </c>
      <c r="F155" s="159"/>
      <c r="G155" s="160"/>
      <c r="H155" s="160"/>
      <c r="I155" s="160"/>
      <c r="J155" s="160"/>
      <c r="K155" s="161"/>
      <c r="L155" s="23" t="s">
        <v>33</v>
      </c>
    </row>
    <row r="156" spans="1:12" x14ac:dyDescent="0.25">
      <c r="A156" s="66"/>
      <c r="B156" s="143" t="s">
        <v>906</v>
      </c>
      <c r="C156" s="144"/>
      <c r="D156" s="158"/>
      <c r="E156" s="43">
        <v>61.75</v>
      </c>
      <c r="F156" s="159"/>
      <c r="G156" s="160"/>
      <c r="H156" s="160"/>
      <c r="I156" s="160"/>
      <c r="J156" s="160"/>
      <c r="K156" s="161"/>
      <c r="L156" s="23" t="s">
        <v>33</v>
      </c>
    </row>
    <row r="157" spans="1:12" x14ac:dyDescent="0.25">
      <c r="A157" s="66"/>
      <c r="B157" s="143" t="s">
        <v>130</v>
      </c>
      <c r="C157" s="144"/>
      <c r="D157" s="158"/>
      <c r="E157" s="43">
        <v>1934.7</v>
      </c>
      <c r="F157" s="159"/>
      <c r="G157" s="160"/>
      <c r="H157" s="160"/>
      <c r="I157" s="160"/>
      <c r="J157" s="160"/>
      <c r="K157" s="161"/>
      <c r="L157" s="23" t="s">
        <v>33</v>
      </c>
    </row>
    <row r="158" spans="1:12" x14ac:dyDescent="0.25">
      <c r="A158" s="66"/>
      <c r="B158" s="143" t="s">
        <v>927</v>
      </c>
      <c r="C158" s="144"/>
      <c r="D158" s="158"/>
      <c r="E158" s="43">
        <v>925.91</v>
      </c>
      <c r="F158" s="159"/>
      <c r="G158" s="160"/>
      <c r="H158" s="160"/>
      <c r="I158" s="160"/>
      <c r="J158" s="160"/>
      <c r="K158" s="161"/>
      <c r="L158" s="23" t="s">
        <v>33</v>
      </c>
    </row>
    <row r="159" spans="1:12" x14ac:dyDescent="0.25">
      <c r="A159" s="66"/>
      <c r="B159" s="143" t="s">
        <v>649</v>
      </c>
      <c r="C159" s="144"/>
      <c r="D159" s="158"/>
      <c r="E159" s="43">
        <v>528.08000000000004</v>
      </c>
      <c r="F159" s="159"/>
      <c r="G159" s="160"/>
      <c r="H159" s="160"/>
      <c r="I159" s="160"/>
      <c r="J159" s="160"/>
      <c r="K159" s="161"/>
      <c r="L159" s="23" t="s">
        <v>33</v>
      </c>
    </row>
    <row r="160" spans="1:12" x14ac:dyDescent="0.25">
      <c r="A160" s="66"/>
      <c r="B160" s="143" t="s">
        <v>926</v>
      </c>
      <c r="C160" s="144"/>
      <c r="D160" s="158"/>
      <c r="E160" s="43">
        <v>817.15</v>
      </c>
      <c r="F160" s="159"/>
      <c r="G160" s="160"/>
      <c r="H160" s="160"/>
      <c r="I160" s="160"/>
      <c r="J160" s="160"/>
      <c r="K160" s="161"/>
      <c r="L160" s="23" t="s">
        <v>33</v>
      </c>
    </row>
    <row r="161" spans="1:12" x14ac:dyDescent="0.25">
      <c r="A161" s="66"/>
      <c r="B161" s="143" t="s">
        <v>928</v>
      </c>
      <c r="C161" s="144"/>
      <c r="D161" s="158"/>
      <c r="E161" s="43">
        <v>7993.95</v>
      </c>
      <c r="F161" s="159"/>
      <c r="G161" s="160"/>
      <c r="H161" s="160"/>
      <c r="I161" s="160"/>
      <c r="J161" s="160"/>
      <c r="K161" s="161"/>
      <c r="L161" s="23" t="s">
        <v>33</v>
      </c>
    </row>
    <row r="162" spans="1:12" x14ac:dyDescent="0.25">
      <c r="A162" s="66"/>
      <c r="B162" s="143" t="s">
        <v>736</v>
      </c>
      <c r="C162" s="144"/>
      <c r="D162" s="158"/>
      <c r="E162" s="43">
        <v>162.84</v>
      </c>
      <c r="F162" s="159"/>
      <c r="G162" s="160"/>
      <c r="H162" s="160"/>
      <c r="I162" s="160"/>
      <c r="J162" s="160"/>
      <c r="K162" s="161"/>
      <c r="L162" s="23" t="s">
        <v>33</v>
      </c>
    </row>
    <row r="163" spans="1:12" x14ac:dyDescent="0.25">
      <c r="A163" s="66"/>
      <c r="B163" s="143" t="s">
        <v>929</v>
      </c>
      <c r="C163" s="144"/>
      <c r="D163" s="158"/>
      <c r="E163" s="43">
        <v>1255.31</v>
      </c>
      <c r="F163" s="159"/>
      <c r="G163" s="160"/>
      <c r="H163" s="160"/>
      <c r="I163" s="160"/>
      <c r="J163" s="160"/>
      <c r="K163" s="161"/>
      <c r="L163" s="23" t="s">
        <v>33</v>
      </c>
    </row>
    <row r="164" spans="1:12" x14ac:dyDescent="0.25">
      <c r="A164" s="66"/>
      <c r="B164" s="143" t="s">
        <v>930</v>
      </c>
      <c r="C164" s="144"/>
      <c r="D164" s="158"/>
      <c r="E164" s="43">
        <v>486.82</v>
      </c>
      <c r="F164" s="159"/>
      <c r="G164" s="160"/>
      <c r="H164" s="160"/>
      <c r="I164" s="160"/>
      <c r="J164" s="160"/>
      <c r="K164" s="161"/>
      <c r="L164" s="23" t="s">
        <v>33</v>
      </c>
    </row>
    <row r="165" spans="1:12" x14ac:dyDescent="0.25">
      <c r="A165" s="66"/>
      <c r="B165" s="143" t="s">
        <v>931</v>
      </c>
      <c r="C165" s="144"/>
      <c r="D165" s="158"/>
      <c r="E165" s="43">
        <v>15072.78</v>
      </c>
      <c r="F165" s="159"/>
      <c r="G165" s="160"/>
      <c r="H165" s="160"/>
      <c r="I165" s="160"/>
      <c r="J165" s="160"/>
      <c r="K165" s="161"/>
      <c r="L165" s="23" t="s">
        <v>33</v>
      </c>
    </row>
    <row r="166" spans="1:12" x14ac:dyDescent="0.25">
      <c r="A166" s="66"/>
      <c r="B166" s="143" t="s">
        <v>932</v>
      </c>
      <c r="C166" s="144"/>
      <c r="D166" s="158"/>
      <c r="E166" s="43">
        <v>880.59</v>
      </c>
      <c r="F166" s="159"/>
      <c r="G166" s="160"/>
      <c r="H166" s="160"/>
      <c r="I166" s="160"/>
      <c r="J166" s="160"/>
      <c r="K166" s="161"/>
      <c r="L166" s="23" t="s">
        <v>33</v>
      </c>
    </row>
    <row r="167" spans="1:12" x14ac:dyDescent="0.25">
      <c r="A167" s="66"/>
      <c r="B167" s="143" t="s">
        <v>933</v>
      </c>
      <c r="C167" s="144"/>
      <c r="D167" s="158"/>
      <c r="E167" s="43">
        <v>2417.12</v>
      </c>
      <c r="F167" s="159"/>
      <c r="G167" s="160"/>
      <c r="H167" s="160"/>
      <c r="I167" s="160"/>
      <c r="J167" s="160"/>
      <c r="K167" s="161"/>
      <c r="L167" s="23" t="s">
        <v>33</v>
      </c>
    </row>
    <row r="168" spans="1:12" x14ac:dyDescent="0.25">
      <c r="A168" s="66"/>
      <c r="B168" s="143" t="s">
        <v>741</v>
      </c>
      <c r="C168" s="144"/>
      <c r="D168" s="158"/>
      <c r="E168" s="43">
        <v>142.32</v>
      </c>
      <c r="F168" s="159"/>
      <c r="G168" s="160"/>
      <c r="H168" s="160"/>
      <c r="I168" s="160"/>
      <c r="J168" s="160"/>
      <c r="K168" s="161"/>
      <c r="L168" s="23" t="s">
        <v>33</v>
      </c>
    </row>
    <row r="169" spans="1:12" x14ac:dyDescent="0.25">
      <c r="A169" s="66"/>
      <c r="B169" s="143" t="s">
        <v>741</v>
      </c>
      <c r="C169" s="144"/>
      <c r="D169" s="158"/>
      <c r="E169" s="43">
        <v>452.93</v>
      </c>
      <c r="F169" s="159"/>
      <c r="G169" s="160"/>
      <c r="H169" s="160"/>
      <c r="I169" s="160"/>
      <c r="J169" s="160"/>
      <c r="K169" s="161"/>
      <c r="L169" s="23" t="s">
        <v>33</v>
      </c>
    </row>
    <row r="170" spans="1:12" x14ac:dyDescent="0.25">
      <c r="A170" s="66"/>
      <c r="B170" s="143" t="s">
        <v>934</v>
      </c>
      <c r="C170" s="144"/>
      <c r="D170" s="158"/>
      <c r="E170" s="43">
        <v>2025.09</v>
      </c>
      <c r="F170" s="159"/>
      <c r="G170" s="160"/>
      <c r="H170" s="160"/>
      <c r="I170" s="160"/>
      <c r="J170" s="160"/>
      <c r="K170" s="161"/>
      <c r="L170" s="23" t="s">
        <v>33</v>
      </c>
    </row>
    <row r="171" spans="1:12" x14ac:dyDescent="0.25">
      <c r="A171" s="66"/>
      <c r="B171" s="143" t="s">
        <v>935</v>
      </c>
      <c r="C171" s="144"/>
      <c r="D171" s="158"/>
      <c r="E171" s="43">
        <v>163.76</v>
      </c>
      <c r="F171" s="159"/>
      <c r="G171" s="160"/>
      <c r="H171" s="160"/>
      <c r="I171" s="160"/>
      <c r="J171" s="160"/>
      <c r="K171" s="161"/>
      <c r="L171" s="23" t="s">
        <v>33</v>
      </c>
    </row>
    <row r="172" spans="1:12" x14ac:dyDescent="0.25">
      <c r="A172" s="66"/>
      <c r="B172" s="143" t="s">
        <v>741</v>
      </c>
      <c r="C172" s="144"/>
      <c r="D172" s="158"/>
      <c r="E172" s="43">
        <v>593.04</v>
      </c>
      <c r="F172" s="159"/>
      <c r="G172" s="160"/>
      <c r="H172" s="160"/>
      <c r="I172" s="160"/>
      <c r="J172" s="160"/>
      <c r="K172" s="161"/>
      <c r="L172" s="23" t="s">
        <v>33</v>
      </c>
    </row>
    <row r="173" spans="1:12" x14ac:dyDescent="0.25">
      <c r="A173" s="66"/>
      <c r="B173" s="143" t="s">
        <v>741</v>
      </c>
      <c r="C173" s="144"/>
      <c r="D173" s="158"/>
      <c r="E173" s="43">
        <v>496.56</v>
      </c>
      <c r="F173" s="159"/>
      <c r="G173" s="160"/>
      <c r="H173" s="160"/>
      <c r="I173" s="160"/>
      <c r="J173" s="160"/>
      <c r="K173" s="161"/>
      <c r="L173" s="23" t="s">
        <v>33</v>
      </c>
    </row>
    <row r="174" spans="1:12" x14ac:dyDescent="0.25">
      <c r="A174" s="66"/>
      <c r="B174" s="143" t="s">
        <v>741</v>
      </c>
      <c r="C174" s="144"/>
      <c r="D174" s="158"/>
      <c r="E174" s="43">
        <v>471.4</v>
      </c>
      <c r="F174" s="159"/>
      <c r="G174" s="160"/>
      <c r="H174" s="160"/>
      <c r="I174" s="160"/>
      <c r="J174" s="160"/>
      <c r="K174" s="161"/>
      <c r="L174" s="23" t="s">
        <v>33</v>
      </c>
    </row>
    <row r="175" spans="1:12" x14ac:dyDescent="0.25">
      <c r="A175" s="66"/>
      <c r="B175" s="143" t="s">
        <v>741</v>
      </c>
      <c r="C175" s="144"/>
      <c r="D175" s="158"/>
      <c r="E175" s="43">
        <v>420.25</v>
      </c>
      <c r="F175" s="159"/>
      <c r="G175" s="160"/>
      <c r="H175" s="160"/>
      <c r="I175" s="160"/>
      <c r="J175" s="160"/>
      <c r="K175" s="161"/>
      <c r="L175" s="23" t="s">
        <v>33</v>
      </c>
    </row>
    <row r="176" spans="1:12" x14ac:dyDescent="0.25">
      <c r="A176" s="66"/>
      <c r="B176" s="143" t="s">
        <v>901</v>
      </c>
      <c r="C176" s="144"/>
      <c r="D176" s="158"/>
      <c r="E176" s="43">
        <v>486.18</v>
      </c>
      <c r="F176" s="159"/>
      <c r="G176" s="160"/>
      <c r="H176" s="160"/>
      <c r="I176" s="160"/>
      <c r="J176" s="160"/>
      <c r="K176" s="161"/>
      <c r="L176" s="23" t="s">
        <v>33</v>
      </c>
    </row>
    <row r="177" spans="1:12" x14ac:dyDescent="0.25">
      <c r="A177" s="66"/>
      <c r="B177" s="143" t="s">
        <v>654</v>
      </c>
      <c r="C177" s="144"/>
      <c r="D177" s="158"/>
      <c r="E177" s="43">
        <v>2845.02</v>
      </c>
      <c r="F177" s="159"/>
      <c r="G177" s="160"/>
      <c r="H177" s="160"/>
      <c r="I177" s="160"/>
      <c r="J177" s="160"/>
      <c r="K177" s="161"/>
      <c r="L177" s="23" t="s">
        <v>33</v>
      </c>
    </row>
    <row r="178" spans="1:12" x14ac:dyDescent="0.25">
      <c r="A178" s="66"/>
      <c r="B178" s="143" t="s">
        <v>842</v>
      </c>
      <c r="C178" s="144"/>
      <c r="D178" s="158"/>
      <c r="E178" s="43">
        <v>5754.81</v>
      </c>
      <c r="F178" s="159"/>
      <c r="G178" s="160"/>
      <c r="H178" s="160"/>
      <c r="I178" s="160"/>
      <c r="J178" s="160"/>
      <c r="K178" s="161"/>
      <c r="L178" s="23" t="s">
        <v>33</v>
      </c>
    </row>
    <row r="179" spans="1:12" x14ac:dyDescent="0.25">
      <c r="A179" s="66"/>
      <c r="B179" s="143" t="s">
        <v>741</v>
      </c>
      <c r="C179" s="144"/>
      <c r="D179" s="158"/>
      <c r="E179" s="43">
        <v>273.88</v>
      </c>
      <c r="F179" s="159"/>
      <c r="G179" s="160"/>
      <c r="H179" s="160"/>
      <c r="I179" s="160"/>
      <c r="J179" s="160"/>
      <c r="K179" s="161"/>
      <c r="L179" s="23" t="s">
        <v>33</v>
      </c>
    </row>
    <row r="180" spans="1:12" x14ac:dyDescent="0.25">
      <c r="A180" s="66"/>
      <c r="B180" s="143" t="s">
        <v>809</v>
      </c>
      <c r="C180" s="144"/>
      <c r="D180" s="158"/>
      <c r="E180" s="43">
        <v>300.16000000000003</v>
      </c>
      <c r="F180" s="159"/>
      <c r="G180" s="160"/>
      <c r="H180" s="160"/>
      <c r="I180" s="160"/>
      <c r="J180" s="160"/>
      <c r="K180" s="161"/>
      <c r="L180" s="23" t="s">
        <v>33</v>
      </c>
    </row>
    <row r="181" spans="1:12" x14ac:dyDescent="0.25">
      <c r="A181" s="66"/>
      <c r="B181" s="143" t="s">
        <v>654</v>
      </c>
      <c r="C181" s="144"/>
      <c r="D181" s="158"/>
      <c r="E181" s="43">
        <v>2845.02</v>
      </c>
      <c r="F181" s="159"/>
      <c r="G181" s="160"/>
      <c r="H181" s="160"/>
      <c r="I181" s="160"/>
      <c r="J181" s="160"/>
      <c r="K181" s="161"/>
      <c r="L181" s="23" t="s">
        <v>33</v>
      </c>
    </row>
    <row r="182" spans="1:12" x14ac:dyDescent="0.25">
      <c r="A182" s="66"/>
      <c r="B182" s="143" t="s">
        <v>741</v>
      </c>
      <c r="C182" s="144"/>
      <c r="D182" s="158"/>
      <c r="E182" s="43">
        <v>471.4</v>
      </c>
      <c r="F182" s="159"/>
      <c r="G182" s="160"/>
      <c r="H182" s="160"/>
      <c r="I182" s="160"/>
      <c r="J182" s="160"/>
      <c r="K182" s="161"/>
      <c r="L182" s="23" t="s">
        <v>33</v>
      </c>
    </row>
    <row r="183" spans="1:12" x14ac:dyDescent="0.25">
      <c r="A183" s="66"/>
      <c r="B183" s="143" t="s">
        <v>936</v>
      </c>
      <c r="C183" s="144"/>
      <c r="D183" s="158"/>
      <c r="E183" s="43">
        <v>1397.14</v>
      </c>
      <c r="F183" s="159"/>
      <c r="G183" s="160"/>
      <c r="H183" s="160"/>
      <c r="I183" s="160"/>
      <c r="J183" s="160"/>
      <c r="K183" s="161"/>
      <c r="L183" s="23" t="s">
        <v>33</v>
      </c>
    </row>
    <row r="184" spans="1:12" x14ac:dyDescent="0.25">
      <c r="A184" s="66"/>
      <c r="B184" s="143" t="s">
        <v>810</v>
      </c>
      <c r="C184" s="144"/>
      <c r="D184" s="158"/>
      <c r="E184" s="43">
        <v>3375.25</v>
      </c>
      <c r="F184" s="159"/>
      <c r="G184" s="160"/>
      <c r="H184" s="160"/>
      <c r="I184" s="160"/>
      <c r="J184" s="160"/>
      <c r="K184" s="161"/>
      <c r="L184" s="23" t="s">
        <v>33</v>
      </c>
    </row>
    <row r="185" spans="1:12" x14ac:dyDescent="0.25">
      <c r="A185" s="66"/>
      <c r="B185" s="143" t="s">
        <v>759</v>
      </c>
      <c r="C185" s="144"/>
      <c r="D185" s="158"/>
      <c r="E185" s="43">
        <v>838.5</v>
      </c>
      <c r="F185" s="159"/>
      <c r="G185" s="160"/>
      <c r="H185" s="160"/>
      <c r="I185" s="160"/>
      <c r="J185" s="160"/>
      <c r="K185" s="161"/>
      <c r="L185" s="23" t="s">
        <v>33</v>
      </c>
    </row>
    <row r="186" spans="1:12" x14ac:dyDescent="0.25">
      <c r="A186" s="66"/>
      <c r="B186" s="143" t="s">
        <v>889</v>
      </c>
      <c r="C186" s="144"/>
      <c r="D186" s="158"/>
      <c r="E186" s="43">
        <v>705.6</v>
      </c>
      <c r="F186" s="159"/>
      <c r="G186" s="160"/>
      <c r="H186" s="160"/>
      <c r="I186" s="160"/>
      <c r="J186" s="160"/>
      <c r="K186" s="161"/>
      <c r="L186" s="23" t="s">
        <v>33</v>
      </c>
    </row>
    <row r="187" spans="1:12" x14ac:dyDescent="0.25">
      <c r="A187" s="66"/>
      <c r="B187" s="143" t="s">
        <v>771</v>
      </c>
      <c r="C187" s="144"/>
      <c r="D187" s="158"/>
      <c r="E187" s="43">
        <v>380.55</v>
      </c>
      <c r="F187" s="159"/>
      <c r="G187" s="160"/>
      <c r="H187" s="160"/>
      <c r="I187" s="160"/>
      <c r="J187" s="160"/>
      <c r="K187" s="161"/>
      <c r="L187" s="23" t="s">
        <v>33</v>
      </c>
    </row>
    <row r="188" spans="1:12" x14ac:dyDescent="0.25">
      <c r="A188" s="66"/>
      <c r="B188" s="143" t="s">
        <v>806</v>
      </c>
      <c r="C188" s="144"/>
      <c r="D188" s="158"/>
      <c r="E188" s="43">
        <v>333.64</v>
      </c>
      <c r="F188" s="159"/>
      <c r="G188" s="160"/>
      <c r="H188" s="160"/>
      <c r="I188" s="160"/>
      <c r="J188" s="160"/>
      <c r="K188" s="161"/>
      <c r="L188" s="23" t="s">
        <v>33</v>
      </c>
    </row>
    <row r="189" spans="1:12" x14ac:dyDescent="0.25">
      <c r="A189" s="66"/>
      <c r="B189" s="143" t="s">
        <v>650</v>
      </c>
      <c r="C189" s="144"/>
      <c r="D189" s="158"/>
      <c r="E189" s="43">
        <v>11671.32</v>
      </c>
      <c r="F189" s="159"/>
      <c r="G189" s="160"/>
      <c r="H189" s="160"/>
      <c r="I189" s="160"/>
      <c r="J189" s="160"/>
      <c r="K189" s="161"/>
      <c r="L189" s="23" t="s">
        <v>33</v>
      </c>
    </row>
    <row r="190" spans="1:12" x14ac:dyDescent="0.25">
      <c r="A190" s="66"/>
      <c r="B190" s="143" t="s">
        <v>654</v>
      </c>
      <c r="C190" s="144"/>
      <c r="D190" s="158"/>
      <c r="E190" s="43">
        <v>2504.8000000000002</v>
      </c>
      <c r="F190" s="159"/>
      <c r="G190" s="160"/>
      <c r="H190" s="160"/>
      <c r="I190" s="160"/>
      <c r="J190" s="160"/>
      <c r="K190" s="161"/>
      <c r="L190" s="23" t="s">
        <v>33</v>
      </c>
    </row>
    <row r="191" spans="1:12" x14ac:dyDescent="0.25">
      <c r="A191" s="66"/>
      <c r="B191" s="143" t="s">
        <v>752</v>
      </c>
      <c r="C191" s="144"/>
      <c r="D191" s="158"/>
      <c r="E191" s="43">
        <v>968.16</v>
      </c>
      <c r="F191" s="159"/>
      <c r="G191" s="160"/>
      <c r="H191" s="160"/>
      <c r="I191" s="160"/>
      <c r="J191" s="160"/>
      <c r="K191" s="161"/>
      <c r="L191" s="23" t="s">
        <v>33</v>
      </c>
    </row>
    <row r="192" spans="1:12" x14ac:dyDescent="0.25">
      <c r="A192" s="66"/>
      <c r="B192" s="143" t="s">
        <v>738</v>
      </c>
      <c r="C192" s="144"/>
      <c r="D192" s="158"/>
      <c r="E192" s="43">
        <v>1258.57</v>
      </c>
      <c r="F192" s="159"/>
      <c r="G192" s="160"/>
      <c r="H192" s="160"/>
      <c r="I192" s="160"/>
      <c r="J192" s="160"/>
      <c r="K192" s="161"/>
      <c r="L192" s="23" t="s">
        <v>33</v>
      </c>
    </row>
    <row r="193" spans="1:12" x14ac:dyDescent="0.25">
      <c r="A193" s="66"/>
      <c r="B193" s="143" t="s">
        <v>739</v>
      </c>
      <c r="C193" s="144"/>
      <c r="D193" s="158"/>
      <c r="E193" s="43">
        <v>2743.03</v>
      </c>
      <c r="F193" s="159"/>
      <c r="G193" s="160"/>
      <c r="H193" s="160"/>
      <c r="I193" s="160"/>
      <c r="J193" s="160"/>
      <c r="K193" s="161"/>
      <c r="L193" s="23" t="s">
        <v>33</v>
      </c>
    </row>
    <row r="194" spans="1:12" x14ac:dyDescent="0.25">
      <c r="A194" s="66"/>
      <c r="B194" s="143" t="s">
        <v>654</v>
      </c>
      <c r="C194" s="144"/>
      <c r="D194" s="158"/>
      <c r="E194" s="43">
        <v>2639.81</v>
      </c>
      <c r="F194" s="159"/>
      <c r="G194" s="160"/>
      <c r="H194" s="160"/>
      <c r="I194" s="160"/>
      <c r="J194" s="160"/>
      <c r="K194" s="161"/>
      <c r="L194" s="23" t="s">
        <v>33</v>
      </c>
    </row>
    <row r="195" spans="1:12" x14ac:dyDescent="0.25">
      <c r="A195" s="66"/>
      <c r="B195" s="143" t="s">
        <v>937</v>
      </c>
      <c r="C195" s="144"/>
      <c r="D195" s="158"/>
      <c r="E195" s="43">
        <v>1440.08</v>
      </c>
      <c r="F195" s="159"/>
      <c r="G195" s="160"/>
      <c r="H195" s="160"/>
      <c r="I195" s="160"/>
      <c r="J195" s="160"/>
      <c r="K195" s="161"/>
      <c r="L195" s="23" t="s">
        <v>33</v>
      </c>
    </row>
    <row r="196" spans="1:12" x14ac:dyDescent="0.25">
      <c r="A196" s="66"/>
      <c r="B196" s="143" t="s">
        <v>739</v>
      </c>
      <c r="C196" s="144"/>
      <c r="D196" s="158"/>
      <c r="E196" s="43">
        <v>2146.11</v>
      </c>
      <c r="F196" s="159"/>
      <c r="G196" s="160"/>
      <c r="H196" s="160"/>
      <c r="I196" s="160"/>
      <c r="J196" s="160"/>
      <c r="K196" s="161"/>
      <c r="L196" s="23" t="s">
        <v>33</v>
      </c>
    </row>
    <row r="197" spans="1:12" x14ac:dyDescent="0.25">
      <c r="A197" s="66"/>
      <c r="B197" s="143" t="s">
        <v>739</v>
      </c>
      <c r="C197" s="144"/>
      <c r="D197" s="158"/>
      <c r="E197" s="43">
        <v>1601.67</v>
      </c>
      <c r="F197" s="159"/>
      <c r="G197" s="160"/>
      <c r="H197" s="160"/>
      <c r="I197" s="160"/>
      <c r="J197" s="160"/>
      <c r="K197" s="161"/>
      <c r="L197" s="23" t="s">
        <v>33</v>
      </c>
    </row>
    <row r="198" spans="1:12" x14ac:dyDescent="0.25">
      <c r="A198" s="66"/>
      <c r="B198" s="143" t="s">
        <v>746</v>
      </c>
      <c r="C198" s="144"/>
      <c r="D198" s="158"/>
      <c r="E198" s="43">
        <v>464.84</v>
      </c>
      <c r="F198" s="159"/>
      <c r="G198" s="160"/>
      <c r="H198" s="160"/>
      <c r="I198" s="160"/>
      <c r="J198" s="160"/>
      <c r="K198" s="161"/>
      <c r="L198" s="23" t="s">
        <v>33</v>
      </c>
    </row>
    <row r="199" spans="1:12" x14ac:dyDescent="0.25">
      <c r="A199" s="66"/>
      <c r="B199" s="143" t="s">
        <v>938</v>
      </c>
      <c r="C199" s="144"/>
      <c r="D199" s="158"/>
      <c r="E199" s="43">
        <v>3797.05</v>
      </c>
      <c r="F199" s="159"/>
      <c r="G199" s="160"/>
      <c r="H199" s="160"/>
      <c r="I199" s="160"/>
      <c r="J199" s="160"/>
      <c r="K199" s="161"/>
      <c r="L199" s="23" t="s">
        <v>33</v>
      </c>
    </row>
    <row r="200" spans="1:12" x14ac:dyDescent="0.25">
      <c r="A200" s="66"/>
      <c r="B200" s="143" t="s">
        <v>726</v>
      </c>
      <c r="C200" s="144"/>
      <c r="D200" s="158"/>
      <c r="E200" s="43">
        <v>214.49</v>
      </c>
      <c r="F200" s="159"/>
      <c r="G200" s="160"/>
      <c r="H200" s="160"/>
      <c r="I200" s="160"/>
      <c r="J200" s="160"/>
      <c r="K200" s="161"/>
      <c r="L200" s="23" t="s">
        <v>33</v>
      </c>
    </row>
    <row r="201" spans="1:12" x14ac:dyDescent="0.25">
      <c r="A201" s="66"/>
      <c r="B201" s="143" t="s">
        <v>877</v>
      </c>
      <c r="C201" s="144"/>
      <c r="D201" s="158"/>
      <c r="E201" s="43">
        <v>615.52</v>
      </c>
      <c r="F201" s="159"/>
      <c r="G201" s="160"/>
      <c r="H201" s="160"/>
      <c r="I201" s="160"/>
      <c r="J201" s="160"/>
      <c r="K201" s="161"/>
      <c r="L201" s="23" t="s">
        <v>33</v>
      </c>
    </row>
    <row r="202" spans="1:12" x14ac:dyDescent="0.25">
      <c r="A202" s="66"/>
      <c r="B202" s="143" t="s">
        <v>842</v>
      </c>
      <c r="C202" s="144"/>
      <c r="D202" s="158"/>
      <c r="E202" s="43">
        <v>2676.22</v>
      </c>
      <c r="F202" s="159"/>
      <c r="G202" s="160"/>
      <c r="H202" s="160"/>
      <c r="I202" s="160"/>
      <c r="J202" s="160"/>
      <c r="K202" s="161"/>
      <c r="L202" s="23" t="s">
        <v>33</v>
      </c>
    </row>
    <row r="203" spans="1:12" x14ac:dyDescent="0.25">
      <c r="A203" s="66"/>
      <c r="B203" s="143" t="s">
        <v>627</v>
      </c>
      <c r="C203" s="144"/>
      <c r="D203" s="158"/>
      <c r="E203" s="43">
        <v>357.88</v>
      </c>
      <c r="F203" s="159"/>
      <c r="G203" s="160"/>
      <c r="H203" s="160"/>
      <c r="I203" s="160"/>
      <c r="J203" s="160"/>
      <c r="K203" s="161"/>
      <c r="L203" s="23" t="s">
        <v>33</v>
      </c>
    </row>
    <row r="204" spans="1:12" x14ac:dyDescent="0.25">
      <c r="A204" s="66"/>
      <c r="B204" s="143" t="s">
        <v>651</v>
      </c>
      <c r="C204" s="144"/>
      <c r="D204" s="158"/>
      <c r="E204" s="43">
        <v>1888.85</v>
      </c>
      <c r="F204" s="159"/>
      <c r="G204" s="160"/>
      <c r="H204" s="160"/>
      <c r="I204" s="160"/>
      <c r="J204" s="160"/>
      <c r="K204" s="161"/>
      <c r="L204" s="23" t="s">
        <v>33</v>
      </c>
    </row>
    <row r="205" spans="1:12" x14ac:dyDescent="0.25">
      <c r="A205" s="66"/>
      <c r="B205" s="143" t="s">
        <v>726</v>
      </c>
      <c r="C205" s="144"/>
      <c r="D205" s="158"/>
      <c r="E205" s="43">
        <v>197.75</v>
      </c>
      <c r="F205" s="159"/>
      <c r="G205" s="160"/>
      <c r="H205" s="160"/>
      <c r="I205" s="160"/>
      <c r="J205" s="160"/>
      <c r="K205" s="161"/>
      <c r="L205" s="23" t="s">
        <v>33</v>
      </c>
    </row>
    <row r="206" spans="1:12" x14ac:dyDescent="0.25">
      <c r="A206" s="66"/>
      <c r="B206" s="143" t="s">
        <v>935</v>
      </c>
      <c r="C206" s="144"/>
      <c r="D206" s="158"/>
      <c r="E206" s="43">
        <v>365.76</v>
      </c>
      <c r="F206" s="159"/>
      <c r="G206" s="160"/>
      <c r="H206" s="160"/>
      <c r="I206" s="160"/>
      <c r="J206" s="160"/>
      <c r="K206" s="161"/>
      <c r="L206" s="23" t="s">
        <v>33</v>
      </c>
    </row>
    <row r="207" spans="1:12" x14ac:dyDescent="0.25">
      <c r="A207" s="66"/>
      <c r="B207" s="143" t="s">
        <v>939</v>
      </c>
      <c r="C207" s="144"/>
      <c r="D207" s="158"/>
      <c r="E207" s="43">
        <v>352.69</v>
      </c>
      <c r="F207" s="159"/>
      <c r="G207" s="160"/>
      <c r="H207" s="160"/>
      <c r="I207" s="160"/>
      <c r="J207" s="160"/>
      <c r="K207" s="161"/>
      <c r="L207" s="23" t="s">
        <v>33</v>
      </c>
    </row>
    <row r="208" spans="1:12" x14ac:dyDescent="0.25">
      <c r="A208" s="66"/>
      <c r="B208" s="143" t="s">
        <v>618</v>
      </c>
      <c r="C208" s="144"/>
      <c r="D208" s="158"/>
      <c r="E208" s="43">
        <v>216.67</v>
      </c>
      <c r="F208" s="159"/>
      <c r="G208" s="160"/>
      <c r="H208" s="160"/>
      <c r="I208" s="160"/>
      <c r="J208" s="160"/>
      <c r="K208" s="161"/>
      <c r="L208" s="23" t="s">
        <v>33</v>
      </c>
    </row>
    <row r="209" spans="1:12" x14ac:dyDescent="0.25">
      <c r="A209" s="66"/>
      <c r="B209" s="143" t="s">
        <v>729</v>
      </c>
      <c r="C209" s="144"/>
      <c r="D209" s="158"/>
      <c r="E209" s="43">
        <v>410.92</v>
      </c>
      <c r="F209" s="159"/>
      <c r="G209" s="160"/>
      <c r="H209" s="160"/>
      <c r="I209" s="160"/>
      <c r="J209" s="160"/>
      <c r="K209" s="161"/>
      <c r="L209" s="23" t="s">
        <v>33</v>
      </c>
    </row>
    <row r="210" spans="1:12" x14ac:dyDescent="0.25">
      <c r="A210" s="66"/>
      <c r="B210" s="143" t="s">
        <v>764</v>
      </c>
      <c r="C210" s="144"/>
      <c r="D210" s="158"/>
      <c r="E210" s="43">
        <v>398.03</v>
      </c>
      <c r="F210" s="159"/>
      <c r="G210" s="160"/>
      <c r="H210" s="160"/>
      <c r="I210" s="160"/>
      <c r="J210" s="160"/>
      <c r="K210" s="161"/>
      <c r="L210" s="23" t="s">
        <v>33</v>
      </c>
    </row>
    <row r="211" spans="1:12" x14ac:dyDescent="0.25">
      <c r="A211" s="66"/>
      <c r="B211" s="143" t="s">
        <v>769</v>
      </c>
      <c r="C211" s="144"/>
      <c r="D211" s="158"/>
      <c r="E211" s="43">
        <v>8525.91</v>
      </c>
      <c r="F211" s="159"/>
      <c r="G211" s="160"/>
      <c r="H211" s="160"/>
      <c r="I211" s="160"/>
      <c r="J211" s="160"/>
      <c r="K211" s="161"/>
      <c r="L211" s="23" t="s">
        <v>33</v>
      </c>
    </row>
    <row r="212" spans="1:12" x14ac:dyDescent="0.25">
      <c r="A212" s="66"/>
      <c r="B212" s="143" t="s">
        <v>940</v>
      </c>
      <c r="C212" s="144"/>
      <c r="D212" s="158"/>
      <c r="E212" s="43">
        <v>9191.36</v>
      </c>
      <c r="F212" s="159"/>
      <c r="G212" s="160"/>
      <c r="H212" s="160"/>
      <c r="I212" s="160"/>
      <c r="J212" s="160"/>
      <c r="K212" s="161"/>
      <c r="L212" s="23" t="s">
        <v>33</v>
      </c>
    </row>
    <row r="213" spans="1:12" x14ac:dyDescent="0.25">
      <c r="A213" s="66"/>
      <c r="B213" s="143" t="s">
        <v>738</v>
      </c>
      <c r="C213" s="144"/>
      <c r="D213" s="158"/>
      <c r="E213" s="43">
        <v>1875.05</v>
      </c>
      <c r="F213" s="159"/>
      <c r="G213" s="160"/>
      <c r="H213" s="160"/>
      <c r="I213" s="160"/>
      <c r="J213" s="160"/>
      <c r="K213" s="161"/>
      <c r="L213" s="23" t="s">
        <v>33</v>
      </c>
    </row>
    <row r="214" spans="1:12" x14ac:dyDescent="0.25">
      <c r="A214" s="66"/>
      <c r="B214" s="143" t="s">
        <v>739</v>
      </c>
      <c r="C214" s="144"/>
      <c r="D214" s="158"/>
      <c r="E214" s="43">
        <v>1724.08</v>
      </c>
      <c r="F214" s="159"/>
      <c r="G214" s="160"/>
      <c r="H214" s="160"/>
      <c r="I214" s="160"/>
      <c r="J214" s="160"/>
      <c r="K214" s="161"/>
      <c r="L214" s="23" t="s">
        <v>33</v>
      </c>
    </row>
    <row r="215" spans="1:12" x14ac:dyDescent="0.25">
      <c r="A215" s="66"/>
      <c r="B215" s="143" t="s">
        <v>941</v>
      </c>
      <c r="C215" s="144"/>
      <c r="D215" s="158"/>
      <c r="E215" s="43">
        <v>326.60000000000002</v>
      </c>
      <c r="F215" s="159"/>
      <c r="G215" s="160"/>
      <c r="H215" s="160"/>
      <c r="I215" s="160"/>
      <c r="J215" s="160"/>
      <c r="K215" s="161"/>
      <c r="L215" s="23" t="s">
        <v>33</v>
      </c>
    </row>
    <row r="216" spans="1:12" x14ac:dyDescent="0.25">
      <c r="A216" s="66"/>
      <c r="B216" s="143" t="s">
        <v>765</v>
      </c>
      <c r="C216" s="144"/>
      <c r="D216" s="158"/>
      <c r="E216" s="43">
        <v>399.47</v>
      </c>
      <c r="F216" s="159"/>
      <c r="G216" s="160"/>
      <c r="H216" s="160"/>
      <c r="I216" s="160"/>
      <c r="J216" s="160"/>
      <c r="K216" s="161"/>
      <c r="L216" s="23" t="s">
        <v>33</v>
      </c>
    </row>
    <row r="217" spans="1:12" x14ac:dyDescent="0.25">
      <c r="A217" s="66"/>
      <c r="B217" s="143" t="s">
        <v>767</v>
      </c>
      <c r="C217" s="144"/>
      <c r="D217" s="158"/>
      <c r="E217" s="43">
        <v>519.5</v>
      </c>
      <c r="F217" s="159"/>
      <c r="G217" s="160"/>
      <c r="H217" s="160"/>
      <c r="I217" s="160"/>
      <c r="J217" s="160"/>
      <c r="K217" s="161"/>
      <c r="L217" s="23" t="s">
        <v>33</v>
      </c>
    </row>
    <row r="218" spans="1:12" x14ac:dyDescent="0.25">
      <c r="A218" s="66"/>
      <c r="B218" s="143" t="s">
        <v>785</v>
      </c>
      <c r="C218" s="144"/>
      <c r="D218" s="158"/>
      <c r="E218" s="43">
        <v>617.21</v>
      </c>
      <c r="F218" s="159"/>
      <c r="G218" s="160"/>
      <c r="H218" s="160"/>
      <c r="I218" s="160"/>
      <c r="J218" s="160"/>
      <c r="K218" s="161"/>
      <c r="L218" s="23" t="s">
        <v>33</v>
      </c>
    </row>
    <row r="219" spans="1:12" x14ac:dyDescent="0.25">
      <c r="A219" s="66"/>
      <c r="B219" s="143" t="s">
        <v>756</v>
      </c>
      <c r="C219" s="144"/>
      <c r="D219" s="158"/>
      <c r="E219" s="43">
        <v>5058.68</v>
      </c>
      <c r="F219" s="159"/>
      <c r="G219" s="160"/>
      <c r="H219" s="160"/>
      <c r="I219" s="160"/>
      <c r="J219" s="160"/>
      <c r="K219" s="161"/>
      <c r="L219" s="23" t="s">
        <v>33</v>
      </c>
    </row>
    <row r="220" spans="1:12" x14ac:dyDescent="0.25">
      <c r="A220" s="66"/>
      <c r="B220" s="143" t="s">
        <v>942</v>
      </c>
      <c r="C220" s="144"/>
      <c r="D220" s="158"/>
      <c r="E220" s="43">
        <v>2759.99</v>
      </c>
      <c r="F220" s="159"/>
      <c r="G220" s="160"/>
      <c r="H220" s="160"/>
      <c r="I220" s="160"/>
      <c r="J220" s="160"/>
      <c r="K220" s="161"/>
      <c r="L220" s="23" t="s">
        <v>33</v>
      </c>
    </row>
    <row r="221" spans="1:12" x14ac:dyDescent="0.25">
      <c r="A221" s="66"/>
      <c r="B221" s="143" t="s">
        <v>943</v>
      </c>
      <c r="C221" s="144"/>
      <c r="D221" s="158"/>
      <c r="E221" s="43">
        <v>15000</v>
      </c>
      <c r="F221" s="159"/>
      <c r="G221" s="160"/>
      <c r="H221" s="160"/>
      <c r="I221" s="160"/>
      <c r="J221" s="160"/>
      <c r="K221" s="161"/>
      <c r="L221" s="23" t="s">
        <v>33</v>
      </c>
    </row>
    <row r="222" spans="1:12" x14ac:dyDescent="0.25">
      <c r="A222" s="66"/>
      <c r="B222" s="143" t="s">
        <v>755</v>
      </c>
      <c r="C222" s="144"/>
      <c r="D222" s="158"/>
      <c r="E222" s="43">
        <v>3558.44</v>
      </c>
      <c r="F222" s="159"/>
      <c r="G222" s="160"/>
      <c r="H222" s="160"/>
      <c r="I222" s="160"/>
      <c r="J222" s="160"/>
      <c r="K222" s="161"/>
      <c r="L222" s="23" t="s">
        <v>33</v>
      </c>
    </row>
    <row r="223" spans="1:12" x14ac:dyDescent="0.25">
      <c r="A223" s="66"/>
      <c r="B223" s="143" t="s">
        <v>927</v>
      </c>
      <c r="C223" s="144"/>
      <c r="D223" s="158"/>
      <c r="E223" s="43">
        <v>931.43</v>
      </c>
      <c r="F223" s="159"/>
      <c r="G223" s="160"/>
      <c r="H223" s="160"/>
      <c r="I223" s="160"/>
      <c r="J223" s="160"/>
      <c r="K223" s="161"/>
      <c r="L223" s="23" t="s">
        <v>33</v>
      </c>
    </row>
    <row r="224" spans="1:12" x14ac:dyDescent="0.25">
      <c r="A224" s="66"/>
      <c r="B224" s="143" t="s">
        <v>810</v>
      </c>
      <c r="C224" s="144"/>
      <c r="D224" s="158"/>
      <c r="E224" s="43">
        <v>2866.26</v>
      </c>
      <c r="F224" s="159"/>
      <c r="G224" s="160"/>
      <c r="H224" s="160"/>
      <c r="I224" s="160"/>
      <c r="J224" s="160"/>
      <c r="K224" s="161"/>
      <c r="L224" s="23" t="s">
        <v>33</v>
      </c>
    </row>
    <row r="225" spans="1:12" x14ac:dyDescent="0.25">
      <c r="A225" s="66"/>
      <c r="B225" s="143" t="s">
        <v>944</v>
      </c>
      <c r="C225" s="144"/>
      <c r="D225" s="158"/>
      <c r="E225" s="43">
        <v>3118.32</v>
      </c>
      <c r="F225" s="159"/>
      <c r="G225" s="160"/>
      <c r="H225" s="160"/>
      <c r="I225" s="160"/>
      <c r="J225" s="160"/>
      <c r="K225" s="161"/>
      <c r="L225" s="23" t="s">
        <v>33</v>
      </c>
    </row>
    <row r="226" spans="1:12" x14ac:dyDescent="0.25">
      <c r="A226" s="66"/>
      <c r="B226" s="143" t="s">
        <v>773</v>
      </c>
      <c r="C226" s="144"/>
      <c r="D226" s="158"/>
      <c r="E226" s="43">
        <v>436.46</v>
      </c>
      <c r="F226" s="159"/>
      <c r="G226" s="160"/>
      <c r="H226" s="160"/>
      <c r="I226" s="160"/>
      <c r="J226" s="160"/>
      <c r="K226" s="161"/>
      <c r="L226" s="23" t="s">
        <v>33</v>
      </c>
    </row>
    <row r="227" spans="1:12" x14ac:dyDescent="0.25">
      <c r="A227" s="66"/>
      <c r="B227" s="143" t="s">
        <v>779</v>
      </c>
      <c r="C227" s="144"/>
      <c r="D227" s="158"/>
      <c r="E227" s="43">
        <v>316.44</v>
      </c>
      <c r="F227" s="159"/>
      <c r="G227" s="160"/>
      <c r="H227" s="160"/>
      <c r="I227" s="160"/>
      <c r="J227" s="160"/>
      <c r="K227" s="161"/>
      <c r="L227" s="23" t="s">
        <v>33</v>
      </c>
    </row>
    <row r="228" spans="1:12" x14ac:dyDescent="0.25">
      <c r="A228" s="66"/>
      <c r="B228" s="143" t="s">
        <v>727</v>
      </c>
      <c r="C228" s="144"/>
      <c r="D228" s="158"/>
      <c r="E228" s="43">
        <v>6233.32</v>
      </c>
      <c r="F228" s="159"/>
      <c r="G228" s="160"/>
      <c r="H228" s="160"/>
      <c r="I228" s="160"/>
      <c r="J228" s="160"/>
      <c r="K228" s="161"/>
      <c r="L228" s="23" t="s">
        <v>33</v>
      </c>
    </row>
    <row r="229" spans="1:12" x14ac:dyDescent="0.25">
      <c r="A229" s="66"/>
      <c r="B229" s="143" t="s">
        <v>604</v>
      </c>
      <c r="C229" s="144"/>
      <c r="D229" s="158"/>
      <c r="E229" s="43">
        <v>376.92</v>
      </c>
      <c r="F229" s="159"/>
      <c r="G229" s="160"/>
      <c r="H229" s="160"/>
      <c r="I229" s="160"/>
      <c r="J229" s="160"/>
      <c r="K229" s="161"/>
      <c r="L229" s="23" t="s">
        <v>33</v>
      </c>
    </row>
    <row r="230" spans="1:12" x14ac:dyDescent="0.25">
      <c r="A230" s="66"/>
      <c r="B230" s="143" t="s">
        <v>945</v>
      </c>
      <c r="C230" s="144"/>
      <c r="D230" s="158"/>
      <c r="E230" s="43">
        <v>1328.11</v>
      </c>
      <c r="F230" s="159"/>
      <c r="G230" s="160"/>
      <c r="H230" s="160"/>
      <c r="I230" s="160"/>
      <c r="J230" s="160"/>
      <c r="K230" s="161"/>
      <c r="L230" s="23" t="s">
        <v>33</v>
      </c>
    </row>
    <row r="231" spans="1:12" x14ac:dyDescent="0.25">
      <c r="A231" s="66"/>
      <c r="B231" s="143" t="s">
        <v>278</v>
      </c>
      <c r="C231" s="144"/>
      <c r="D231" s="158"/>
      <c r="E231" s="43">
        <v>1243.3599999999999</v>
      </c>
      <c r="F231" s="159"/>
      <c r="G231" s="160"/>
      <c r="H231" s="160"/>
      <c r="I231" s="160"/>
      <c r="J231" s="160"/>
      <c r="K231" s="161"/>
      <c r="L231" s="23" t="s">
        <v>33</v>
      </c>
    </row>
    <row r="232" spans="1:12" x14ac:dyDescent="0.25">
      <c r="A232" s="66"/>
      <c r="B232" s="143" t="s">
        <v>946</v>
      </c>
      <c r="C232" s="144"/>
      <c r="D232" s="158"/>
      <c r="E232" s="43">
        <v>8106.82</v>
      </c>
      <c r="F232" s="159"/>
      <c r="G232" s="160"/>
      <c r="H232" s="160"/>
      <c r="I232" s="160"/>
      <c r="J232" s="160"/>
      <c r="K232" s="161"/>
      <c r="L232" s="23" t="s">
        <v>33</v>
      </c>
    </row>
    <row r="233" spans="1:12" x14ac:dyDescent="0.25">
      <c r="A233" s="66"/>
      <c r="B233" s="143" t="s">
        <v>947</v>
      </c>
      <c r="C233" s="144"/>
      <c r="D233" s="158"/>
      <c r="E233" s="43">
        <v>460.72</v>
      </c>
      <c r="F233" s="159"/>
      <c r="G233" s="160"/>
      <c r="H233" s="160"/>
      <c r="I233" s="160"/>
      <c r="J233" s="160"/>
      <c r="K233" s="161"/>
      <c r="L233" s="23" t="s">
        <v>33</v>
      </c>
    </row>
    <row r="234" spans="1:12" x14ac:dyDescent="0.25">
      <c r="A234" s="66"/>
      <c r="B234" s="143" t="s">
        <v>948</v>
      </c>
      <c r="C234" s="144"/>
      <c r="D234" s="158"/>
      <c r="E234" s="43">
        <v>32883.08</v>
      </c>
      <c r="F234" s="159"/>
      <c r="G234" s="160"/>
      <c r="H234" s="160"/>
      <c r="I234" s="160"/>
      <c r="J234" s="160"/>
      <c r="K234" s="161"/>
      <c r="L234" s="23" t="s">
        <v>33</v>
      </c>
    </row>
    <row r="235" spans="1:12" x14ac:dyDescent="0.25">
      <c r="A235" s="66"/>
      <c r="B235" s="143" t="s">
        <v>844</v>
      </c>
      <c r="C235" s="144"/>
      <c r="D235" s="158"/>
      <c r="E235" s="43">
        <v>303.08</v>
      </c>
      <c r="F235" s="159"/>
      <c r="G235" s="160"/>
      <c r="H235" s="160"/>
      <c r="I235" s="160"/>
      <c r="J235" s="160"/>
      <c r="K235" s="161"/>
      <c r="L235" s="23" t="s">
        <v>33</v>
      </c>
    </row>
    <row r="236" spans="1:12" x14ac:dyDescent="0.25">
      <c r="A236" s="66"/>
      <c r="B236" s="143" t="s">
        <v>949</v>
      </c>
      <c r="C236" s="144"/>
      <c r="D236" s="158"/>
      <c r="E236" s="43">
        <v>3014.56</v>
      </c>
      <c r="F236" s="159"/>
      <c r="G236" s="160"/>
      <c r="H236" s="160"/>
      <c r="I236" s="160"/>
      <c r="J236" s="160"/>
      <c r="K236" s="161"/>
      <c r="L236" s="23" t="s">
        <v>33</v>
      </c>
    </row>
    <row r="237" spans="1:12" x14ac:dyDescent="0.25">
      <c r="A237" s="66"/>
      <c r="B237" s="143" t="s">
        <v>372</v>
      </c>
      <c r="C237" s="144"/>
      <c r="D237" s="158"/>
      <c r="E237" s="43">
        <v>5735.49</v>
      </c>
      <c r="F237" s="159"/>
      <c r="G237" s="160"/>
      <c r="H237" s="160"/>
      <c r="I237" s="160"/>
      <c r="J237" s="160"/>
      <c r="K237" s="161"/>
      <c r="L237" s="23" t="s">
        <v>33</v>
      </c>
    </row>
    <row r="238" spans="1:12" x14ac:dyDescent="0.25">
      <c r="A238" s="66"/>
      <c r="B238" s="143" t="s">
        <v>950</v>
      </c>
      <c r="C238" s="144"/>
      <c r="D238" s="158"/>
      <c r="E238" s="43">
        <v>471.76</v>
      </c>
      <c r="F238" s="159"/>
      <c r="G238" s="160"/>
      <c r="H238" s="160"/>
      <c r="I238" s="160"/>
      <c r="J238" s="160"/>
      <c r="K238" s="161"/>
      <c r="L238" s="23" t="s">
        <v>33</v>
      </c>
    </row>
    <row r="239" spans="1:12" x14ac:dyDescent="0.25">
      <c r="A239" s="66"/>
      <c r="B239" s="143" t="s">
        <v>746</v>
      </c>
      <c r="C239" s="144"/>
      <c r="D239" s="158"/>
      <c r="E239" s="43">
        <v>323.01</v>
      </c>
      <c r="F239" s="159"/>
      <c r="G239" s="160"/>
      <c r="H239" s="160"/>
      <c r="I239" s="160"/>
      <c r="J239" s="160"/>
      <c r="K239" s="161"/>
      <c r="L239" s="23" t="s">
        <v>33</v>
      </c>
    </row>
    <row r="240" spans="1:12" x14ac:dyDescent="0.25">
      <c r="A240" s="66"/>
      <c r="B240" s="143" t="s">
        <v>951</v>
      </c>
      <c r="C240" s="144"/>
      <c r="D240" s="158"/>
      <c r="E240" s="43">
        <v>926.7</v>
      </c>
      <c r="F240" s="159"/>
      <c r="G240" s="160"/>
      <c r="H240" s="160"/>
      <c r="I240" s="160"/>
      <c r="J240" s="160"/>
      <c r="K240" s="161"/>
      <c r="L240" s="23" t="s">
        <v>33</v>
      </c>
    </row>
    <row r="241" spans="1:12" x14ac:dyDescent="0.25">
      <c r="A241" s="66"/>
      <c r="B241" s="143" t="s">
        <v>952</v>
      </c>
      <c r="C241" s="144"/>
      <c r="D241" s="158"/>
      <c r="E241" s="43">
        <v>1376.65</v>
      </c>
      <c r="F241" s="159"/>
      <c r="G241" s="160"/>
      <c r="H241" s="160"/>
      <c r="I241" s="160"/>
      <c r="J241" s="160"/>
      <c r="K241" s="161"/>
      <c r="L241" s="23" t="s">
        <v>33</v>
      </c>
    </row>
    <row r="242" spans="1:12" x14ac:dyDescent="0.25">
      <c r="A242" s="66"/>
      <c r="B242" s="143" t="s">
        <v>738</v>
      </c>
      <c r="C242" s="144"/>
      <c r="D242" s="158"/>
      <c r="E242" s="43">
        <v>1760.97</v>
      </c>
      <c r="F242" s="159"/>
      <c r="G242" s="160"/>
      <c r="H242" s="160"/>
      <c r="I242" s="160"/>
      <c r="J242" s="160"/>
      <c r="K242" s="161"/>
      <c r="L242" s="23" t="s">
        <v>33</v>
      </c>
    </row>
    <row r="243" spans="1:12" x14ac:dyDescent="0.25">
      <c r="A243" s="66"/>
      <c r="B243" s="143" t="s">
        <v>169</v>
      </c>
      <c r="C243" s="144"/>
      <c r="D243" s="158"/>
      <c r="E243" s="43">
        <v>438.6</v>
      </c>
      <c r="F243" s="159"/>
      <c r="G243" s="160"/>
      <c r="H243" s="160"/>
      <c r="I243" s="160"/>
      <c r="J243" s="160"/>
      <c r="K243" s="161"/>
      <c r="L243" s="23" t="s">
        <v>33</v>
      </c>
    </row>
    <row r="244" spans="1:12" x14ac:dyDescent="0.25">
      <c r="A244" s="66"/>
      <c r="B244" s="143" t="s">
        <v>726</v>
      </c>
      <c r="C244" s="144"/>
      <c r="D244" s="158"/>
      <c r="E244" s="43">
        <v>478.46</v>
      </c>
      <c r="F244" s="159"/>
      <c r="G244" s="160"/>
      <c r="H244" s="160"/>
      <c r="I244" s="160"/>
      <c r="J244" s="160"/>
      <c r="K244" s="161"/>
      <c r="L244" s="23" t="s">
        <v>33</v>
      </c>
    </row>
    <row r="245" spans="1:12" x14ac:dyDescent="0.25">
      <c r="A245" s="66"/>
      <c r="B245" s="143" t="s">
        <v>905</v>
      </c>
      <c r="C245" s="144"/>
      <c r="D245" s="158"/>
      <c r="E245" s="43">
        <v>386.12</v>
      </c>
      <c r="F245" s="159"/>
      <c r="G245" s="160"/>
      <c r="H245" s="160"/>
      <c r="I245" s="160"/>
      <c r="J245" s="160"/>
      <c r="K245" s="161"/>
      <c r="L245" s="23" t="s">
        <v>33</v>
      </c>
    </row>
    <row r="246" spans="1:12" x14ac:dyDescent="0.25">
      <c r="A246" s="66"/>
      <c r="B246" s="143" t="s">
        <v>953</v>
      </c>
      <c r="C246" s="144"/>
      <c r="D246" s="158"/>
      <c r="E246" s="43">
        <v>302.87</v>
      </c>
      <c r="F246" s="159"/>
      <c r="G246" s="160"/>
      <c r="H246" s="160"/>
      <c r="I246" s="160"/>
      <c r="J246" s="160"/>
      <c r="K246" s="161"/>
      <c r="L246" s="23" t="s">
        <v>33</v>
      </c>
    </row>
    <row r="247" spans="1:12" x14ac:dyDescent="0.25">
      <c r="A247" s="66"/>
      <c r="B247" s="143" t="s">
        <v>954</v>
      </c>
      <c r="C247" s="144"/>
      <c r="D247" s="158"/>
      <c r="E247" s="43">
        <v>540.80999999999995</v>
      </c>
      <c r="F247" s="159"/>
      <c r="G247" s="160"/>
      <c r="H247" s="160"/>
      <c r="I247" s="160"/>
      <c r="J247" s="160"/>
      <c r="K247" s="161"/>
      <c r="L247" s="23" t="s">
        <v>33</v>
      </c>
    </row>
    <row r="248" spans="1:12" x14ac:dyDescent="0.25">
      <c r="A248" s="66"/>
      <c r="B248" s="143" t="s">
        <v>955</v>
      </c>
      <c r="C248" s="144"/>
      <c r="D248" s="158"/>
      <c r="E248" s="43">
        <v>1507.28</v>
      </c>
      <c r="F248" s="159"/>
      <c r="G248" s="160"/>
      <c r="H248" s="160"/>
      <c r="I248" s="160"/>
      <c r="J248" s="160"/>
      <c r="K248" s="161"/>
      <c r="L248" s="23" t="s">
        <v>33</v>
      </c>
    </row>
    <row r="249" spans="1:12" x14ac:dyDescent="0.25">
      <c r="A249" s="66"/>
      <c r="B249" s="143" t="s">
        <v>910</v>
      </c>
      <c r="C249" s="144"/>
      <c r="D249" s="158"/>
      <c r="E249" s="43">
        <v>27.41</v>
      </c>
      <c r="F249" s="159"/>
      <c r="G249" s="160"/>
      <c r="H249" s="160"/>
      <c r="I249" s="160"/>
      <c r="J249" s="160"/>
      <c r="K249" s="161"/>
      <c r="L249" s="23" t="s">
        <v>33</v>
      </c>
    </row>
    <row r="250" spans="1:12" x14ac:dyDescent="0.25">
      <c r="A250" s="66"/>
      <c r="B250" s="143" t="s">
        <v>910</v>
      </c>
      <c r="C250" s="144"/>
      <c r="D250" s="158"/>
      <c r="E250" s="43">
        <v>400.08</v>
      </c>
      <c r="F250" s="159"/>
      <c r="G250" s="160"/>
      <c r="H250" s="160"/>
      <c r="I250" s="160"/>
      <c r="J250" s="160"/>
      <c r="K250" s="161"/>
      <c r="L250" s="23" t="s">
        <v>33</v>
      </c>
    </row>
    <row r="251" spans="1:12" x14ac:dyDescent="0.25">
      <c r="A251" s="66"/>
      <c r="B251" s="143" t="s">
        <v>738</v>
      </c>
      <c r="C251" s="144"/>
      <c r="D251" s="158"/>
      <c r="E251" s="43">
        <v>636.62</v>
      </c>
      <c r="F251" s="159"/>
      <c r="G251" s="160"/>
      <c r="H251" s="160"/>
      <c r="I251" s="160"/>
      <c r="J251" s="160"/>
      <c r="K251" s="161"/>
      <c r="L251" s="23" t="s">
        <v>33</v>
      </c>
    </row>
    <row r="252" spans="1:12" x14ac:dyDescent="0.25">
      <c r="A252" s="66"/>
      <c r="B252" s="143" t="s">
        <v>956</v>
      </c>
      <c r="C252" s="144"/>
      <c r="D252" s="158"/>
      <c r="E252" s="43">
        <v>1391.33</v>
      </c>
      <c r="F252" s="159"/>
      <c r="G252" s="160"/>
      <c r="H252" s="160"/>
      <c r="I252" s="160"/>
      <c r="J252" s="160"/>
      <c r="K252" s="161"/>
      <c r="L252" s="23" t="s">
        <v>33</v>
      </c>
    </row>
    <row r="253" spans="1:12" x14ac:dyDescent="0.25">
      <c r="A253" s="66"/>
      <c r="B253" s="143" t="s">
        <v>957</v>
      </c>
      <c r="C253" s="144"/>
      <c r="D253" s="158"/>
      <c r="E253" s="43">
        <v>7959.13</v>
      </c>
      <c r="F253" s="159"/>
      <c r="G253" s="160"/>
      <c r="H253" s="160"/>
      <c r="I253" s="160"/>
      <c r="J253" s="160"/>
      <c r="K253" s="161"/>
      <c r="L253" s="23" t="s">
        <v>33</v>
      </c>
    </row>
    <row r="254" spans="1:12" x14ac:dyDescent="0.25">
      <c r="A254" s="66"/>
      <c r="B254" s="143" t="s">
        <v>958</v>
      </c>
      <c r="C254" s="144"/>
      <c r="D254" s="158"/>
      <c r="E254" s="43">
        <v>20471.22</v>
      </c>
      <c r="F254" s="159"/>
      <c r="G254" s="160"/>
      <c r="H254" s="160"/>
      <c r="I254" s="160"/>
      <c r="J254" s="160"/>
      <c r="K254" s="161"/>
      <c r="L254" s="23" t="s">
        <v>33</v>
      </c>
    </row>
    <row r="255" spans="1:12" x14ac:dyDescent="0.25">
      <c r="A255" s="66"/>
      <c r="B255" s="143" t="s">
        <v>959</v>
      </c>
      <c r="C255" s="144"/>
      <c r="D255" s="158"/>
      <c r="E255" s="43">
        <v>8486.44</v>
      </c>
      <c r="F255" s="159"/>
      <c r="G255" s="160"/>
      <c r="H255" s="160"/>
      <c r="I255" s="160"/>
      <c r="J255" s="160"/>
      <c r="K255" s="161"/>
      <c r="L255" s="23" t="s">
        <v>33</v>
      </c>
    </row>
    <row r="256" spans="1:12" ht="16.5" thickBot="1" x14ac:dyDescent="0.3">
      <c r="A256" s="66"/>
      <c r="B256" s="143" t="s">
        <v>960</v>
      </c>
      <c r="C256" s="144"/>
      <c r="D256" s="158"/>
      <c r="E256" s="43">
        <v>29244.6</v>
      </c>
      <c r="F256" s="159"/>
      <c r="G256" s="160"/>
      <c r="H256" s="160"/>
      <c r="I256" s="160"/>
      <c r="J256" s="160"/>
      <c r="K256" s="161"/>
      <c r="L256" s="23" t="s">
        <v>33</v>
      </c>
    </row>
    <row r="257" spans="1:12" ht="16.5" thickBot="1" x14ac:dyDescent="0.3">
      <c r="A257" s="70" t="s">
        <v>458</v>
      </c>
      <c r="B257" s="173" t="s">
        <v>463</v>
      </c>
      <c r="C257" s="174"/>
      <c r="D257" s="175"/>
      <c r="E257" s="36" t="s">
        <v>8</v>
      </c>
      <c r="F257" s="119" t="s">
        <v>15</v>
      </c>
      <c r="G257" s="120"/>
      <c r="H257" s="120"/>
      <c r="I257" s="120"/>
      <c r="J257" s="120"/>
      <c r="K257" s="121"/>
      <c r="L257" s="39" t="s">
        <v>16</v>
      </c>
    </row>
    <row r="258" spans="1:12" x14ac:dyDescent="0.25">
      <c r="A258" s="22" t="s">
        <v>133</v>
      </c>
      <c r="B258" s="189" t="s">
        <v>379</v>
      </c>
      <c r="C258" s="190"/>
      <c r="D258" s="191"/>
      <c r="E258" s="42">
        <v>458.13</v>
      </c>
      <c r="F258" s="164"/>
      <c r="G258" s="164"/>
      <c r="H258" s="164"/>
      <c r="I258" s="164"/>
      <c r="J258" s="164"/>
      <c r="K258" s="165"/>
      <c r="L258" s="23" t="s">
        <v>71</v>
      </c>
    </row>
    <row r="259" spans="1:12" x14ac:dyDescent="0.25">
      <c r="A259" s="22" t="s">
        <v>380</v>
      </c>
      <c r="B259" s="140" t="s">
        <v>381</v>
      </c>
      <c r="C259" s="141"/>
      <c r="D259" s="142"/>
      <c r="E259" s="23">
        <v>1651.04</v>
      </c>
      <c r="F259" s="160"/>
      <c r="G259" s="160"/>
      <c r="H259" s="160"/>
      <c r="I259" s="160"/>
      <c r="J259" s="160"/>
      <c r="K259" s="161"/>
      <c r="L259" s="23" t="s">
        <v>71</v>
      </c>
    </row>
    <row r="260" spans="1:12" x14ac:dyDescent="0.25">
      <c r="A260" s="22" t="s">
        <v>382</v>
      </c>
      <c r="B260" s="140" t="s">
        <v>852</v>
      </c>
      <c r="C260" s="141"/>
      <c r="D260" s="142"/>
      <c r="E260" s="23">
        <v>338.88</v>
      </c>
      <c r="F260" s="160"/>
      <c r="G260" s="160"/>
      <c r="H260" s="160"/>
      <c r="I260" s="160"/>
      <c r="J260" s="160"/>
      <c r="K260" s="161"/>
      <c r="L260" s="23" t="s">
        <v>71</v>
      </c>
    </row>
    <row r="261" spans="1:12" x14ac:dyDescent="0.25">
      <c r="A261" s="22" t="s">
        <v>383</v>
      </c>
      <c r="B261" s="140" t="s">
        <v>853</v>
      </c>
      <c r="C261" s="141"/>
      <c r="D261" s="142"/>
      <c r="E261" s="23">
        <v>892.14</v>
      </c>
      <c r="F261" s="160"/>
      <c r="G261" s="160"/>
      <c r="H261" s="160"/>
      <c r="I261" s="160"/>
      <c r="J261" s="160"/>
      <c r="K261" s="161"/>
      <c r="L261" s="23" t="s">
        <v>71</v>
      </c>
    </row>
    <row r="262" spans="1:12" x14ac:dyDescent="0.25">
      <c r="A262" s="22" t="s">
        <v>384</v>
      </c>
      <c r="B262" s="140" t="s">
        <v>385</v>
      </c>
      <c r="C262" s="141"/>
      <c r="D262" s="142"/>
      <c r="E262" s="23">
        <v>293.5</v>
      </c>
      <c r="F262" s="160"/>
      <c r="G262" s="160"/>
      <c r="H262" s="160"/>
      <c r="I262" s="160"/>
      <c r="J262" s="160"/>
      <c r="K262" s="161"/>
      <c r="L262" s="23" t="s">
        <v>71</v>
      </c>
    </row>
    <row r="263" spans="1:12" x14ac:dyDescent="0.25">
      <c r="A263" s="22" t="s">
        <v>386</v>
      </c>
      <c r="B263" s="140" t="s">
        <v>854</v>
      </c>
      <c r="C263" s="141"/>
      <c r="D263" s="142"/>
      <c r="E263" s="23">
        <v>1084.6400000000001</v>
      </c>
      <c r="F263" s="160"/>
      <c r="G263" s="160"/>
      <c r="H263" s="160"/>
      <c r="I263" s="160"/>
      <c r="J263" s="160"/>
      <c r="K263" s="161"/>
      <c r="L263" s="23" t="s">
        <v>71</v>
      </c>
    </row>
    <row r="264" spans="1:12" x14ac:dyDescent="0.25">
      <c r="A264" s="22" t="s">
        <v>246</v>
      </c>
      <c r="B264" s="140" t="s">
        <v>387</v>
      </c>
      <c r="C264" s="141"/>
      <c r="D264" s="142"/>
      <c r="E264" s="23">
        <v>521.15</v>
      </c>
      <c r="F264" s="160"/>
      <c r="G264" s="160"/>
      <c r="H264" s="160"/>
      <c r="I264" s="160"/>
      <c r="J264" s="160"/>
      <c r="K264" s="161"/>
      <c r="L264" s="23" t="s">
        <v>71</v>
      </c>
    </row>
    <row r="265" spans="1:12" x14ac:dyDescent="0.25">
      <c r="A265" s="22" t="s">
        <v>388</v>
      </c>
      <c r="B265" s="140" t="s">
        <v>234</v>
      </c>
      <c r="C265" s="141"/>
      <c r="D265" s="142"/>
      <c r="E265" s="23">
        <v>423.45</v>
      </c>
      <c r="F265" s="160"/>
      <c r="G265" s="160"/>
      <c r="H265" s="160"/>
      <c r="I265" s="160"/>
      <c r="J265" s="160"/>
      <c r="K265" s="161"/>
      <c r="L265" s="23" t="s">
        <v>71</v>
      </c>
    </row>
    <row r="266" spans="1:12" x14ac:dyDescent="0.25">
      <c r="A266" s="22" t="s">
        <v>389</v>
      </c>
      <c r="B266" s="140" t="s">
        <v>390</v>
      </c>
      <c r="C266" s="141"/>
      <c r="D266" s="142"/>
      <c r="E266" s="23">
        <v>413.54</v>
      </c>
      <c r="F266" s="160"/>
      <c r="G266" s="160"/>
      <c r="H266" s="160"/>
      <c r="I266" s="160"/>
      <c r="J266" s="160"/>
      <c r="K266" s="161"/>
      <c r="L266" s="23" t="s">
        <v>71</v>
      </c>
    </row>
    <row r="267" spans="1:12" x14ac:dyDescent="0.25">
      <c r="A267" s="22" t="s">
        <v>83</v>
      </c>
      <c r="B267" s="140" t="s">
        <v>654</v>
      </c>
      <c r="C267" s="141"/>
      <c r="D267" s="142"/>
      <c r="E267" s="23">
        <v>1499.43</v>
      </c>
      <c r="F267" s="160"/>
      <c r="G267" s="160"/>
      <c r="H267" s="160"/>
      <c r="I267" s="160"/>
      <c r="J267" s="160"/>
      <c r="K267" s="161"/>
      <c r="L267" s="23" t="s">
        <v>71</v>
      </c>
    </row>
    <row r="268" spans="1:12" x14ac:dyDescent="0.25">
      <c r="A268" s="22" t="s">
        <v>394</v>
      </c>
      <c r="B268" s="140" t="s">
        <v>395</v>
      </c>
      <c r="C268" s="141"/>
      <c r="D268" s="142"/>
      <c r="E268" s="23">
        <v>339.22</v>
      </c>
      <c r="F268" s="160"/>
      <c r="G268" s="160"/>
      <c r="H268" s="160"/>
      <c r="I268" s="160"/>
      <c r="J268" s="160"/>
      <c r="K268" s="161"/>
      <c r="L268" s="23" t="s">
        <v>71</v>
      </c>
    </row>
    <row r="269" spans="1:12" x14ac:dyDescent="0.25">
      <c r="A269" s="22" t="s">
        <v>258</v>
      </c>
      <c r="B269" s="140" t="s">
        <v>651</v>
      </c>
      <c r="C269" s="141"/>
      <c r="D269" s="142"/>
      <c r="E269" s="23">
        <v>1511.68</v>
      </c>
      <c r="F269" s="160"/>
      <c r="G269" s="160"/>
      <c r="H269" s="160"/>
      <c r="I269" s="160"/>
      <c r="J269" s="160"/>
      <c r="K269" s="161"/>
      <c r="L269" s="23" t="s">
        <v>71</v>
      </c>
    </row>
    <row r="270" spans="1:12" x14ac:dyDescent="0.25">
      <c r="A270" s="22" t="s">
        <v>399</v>
      </c>
      <c r="B270" s="140" t="s">
        <v>855</v>
      </c>
      <c r="C270" s="141"/>
      <c r="D270" s="142"/>
      <c r="E270" s="23">
        <v>352.05</v>
      </c>
      <c r="F270" s="160"/>
      <c r="G270" s="160"/>
      <c r="H270" s="160"/>
      <c r="I270" s="160"/>
      <c r="J270" s="160"/>
      <c r="K270" s="161"/>
      <c r="L270" s="23" t="s">
        <v>71</v>
      </c>
    </row>
    <row r="271" spans="1:12" x14ac:dyDescent="0.25">
      <c r="A271" s="22" t="s">
        <v>263</v>
      </c>
      <c r="B271" s="140" t="s">
        <v>556</v>
      </c>
      <c r="C271" s="141"/>
      <c r="D271" s="142"/>
      <c r="E271" s="23">
        <v>1292.18</v>
      </c>
      <c r="F271" s="160"/>
      <c r="G271" s="160"/>
      <c r="H271" s="160"/>
      <c r="I271" s="160"/>
      <c r="J271" s="160"/>
      <c r="K271" s="161"/>
      <c r="L271" s="23" t="s">
        <v>71</v>
      </c>
    </row>
    <row r="272" spans="1:12" x14ac:dyDescent="0.25">
      <c r="A272" s="22" t="s">
        <v>124</v>
      </c>
      <c r="B272" s="140" t="s">
        <v>856</v>
      </c>
      <c r="C272" s="141"/>
      <c r="D272" s="142"/>
      <c r="E272" s="23">
        <v>342.24</v>
      </c>
      <c r="F272" s="160"/>
      <c r="G272" s="160"/>
      <c r="H272" s="160"/>
      <c r="I272" s="160"/>
      <c r="J272" s="160"/>
      <c r="K272" s="161"/>
      <c r="L272" s="23" t="s">
        <v>71</v>
      </c>
    </row>
    <row r="273" spans="1:12" x14ac:dyDescent="0.25">
      <c r="A273" s="22" t="s">
        <v>404</v>
      </c>
      <c r="B273" s="140" t="s">
        <v>405</v>
      </c>
      <c r="C273" s="141"/>
      <c r="D273" s="142"/>
      <c r="E273" s="23">
        <v>363.51</v>
      </c>
      <c r="F273" s="160"/>
      <c r="G273" s="160"/>
      <c r="H273" s="160"/>
      <c r="I273" s="160"/>
      <c r="J273" s="160"/>
      <c r="K273" s="161"/>
      <c r="L273" s="23" t="s">
        <v>71</v>
      </c>
    </row>
    <row r="274" spans="1:12" x14ac:dyDescent="0.25">
      <c r="A274" s="22" t="s">
        <v>407</v>
      </c>
      <c r="B274" s="140" t="s">
        <v>408</v>
      </c>
      <c r="C274" s="141"/>
      <c r="D274" s="142"/>
      <c r="E274" s="23">
        <v>318</v>
      </c>
      <c r="F274" s="160"/>
      <c r="G274" s="160"/>
      <c r="H274" s="160"/>
      <c r="I274" s="160"/>
      <c r="J274" s="160"/>
      <c r="K274" s="161"/>
      <c r="L274" s="23" t="s">
        <v>71</v>
      </c>
    </row>
    <row r="275" spans="1:12" x14ac:dyDescent="0.25">
      <c r="A275" s="22" t="s">
        <v>409</v>
      </c>
      <c r="B275" s="140" t="s">
        <v>857</v>
      </c>
      <c r="C275" s="141"/>
      <c r="D275" s="142"/>
      <c r="E275" s="23">
        <v>332.87</v>
      </c>
      <c r="F275" s="160"/>
      <c r="G275" s="160"/>
      <c r="H275" s="160"/>
      <c r="I275" s="160"/>
      <c r="J275" s="160"/>
      <c r="K275" s="161"/>
      <c r="L275" s="23" t="s">
        <v>71</v>
      </c>
    </row>
    <row r="276" spans="1:12" x14ac:dyDescent="0.25">
      <c r="A276" s="22" t="s">
        <v>388</v>
      </c>
      <c r="B276" s="140" t="s">
        <v>234</v>
      </c>
      <c r="C276" s="141"/>
      <c r="D276" s="142"/>
      <c r="E276" s="23">
        <v>484.6</v>
      </c>
      <c r="F276" s="160"/>
      <c r="G276" s="160"/>
      <c r="H276" s="160"/>
      <c r="I276" s="160"/>
      <c r="J276" s="160"/>
      <c r="K276" s="161"/>
      <c r="L276" s="17" t="s">
        <v>71</v>
      </c>
    </row>
    <row r="277" spans="1:12" x14ac:dyDescent="0.25">
      <c r="A277" s="22" t="s">
        <v>415</v>
      </c>
      <c r="B277" s="140" t="s">
        <v>416</v>
      </c>
      <c r="C277" s="141"/>
      <c r="D277" s="142"/>
      <c r="E277" s="23">
        <v>465.59</v>
      </c>
      <c r="F277" s="160"/>
      <c r="G277" s="160"/>
      <c r="H277" s="160"/>
      <c r="I277" s="160"/>
      <c r="J277" s="160"/>
      <c r="K277" s="161"/>
      <c r="L277" s="17" t="s">
        <v>71</v>
      </c>
    </row>
    <row r="278" spans="1:12" x14ac:dyDescent="0.25">
      <c r="A278" s="22" t="s">
        <v>421</v>
      </c>
      <c r="B278" s="140" t="s">
        <v>420</v>
      </c>
      <c r="C278" s="141"/>
      <c r="D278" s="142"/>
      <c r="E278" s="23">
        <v>1109.6600000000001</v>
      </c>
      <c r="F278" s="160"/>
      <c r="G278" s="160"/>
      <c r="H278" s="160"/>
      <c r="I278" s="160"/>
      <c r="J278" s="160"/>
      <c r="K278" s="161"/>
      <c r="L278" s="17" t="s">
        <v>71</v>
      </c>
    </row>
    <row r="279" spans="1:12" x14ac:dyDescent="0.25">
      <c r="A279" s="22" t="s">
        <v>264</v>
      </c>
      <c r="B279" s="140" t="s">
        <v>265</v>
      </c>
      <c r="C279" s="141"/>
      <c r="D279" s="142"/>
      <c r="E279" s="23">
        <v>462.28</v>
      </c>
      <c r="F279" s="160"/>
      <c r="G279" s="160"/>
      <c r="H279" s="160"/>
      <c r="I279" s="160"/>
      <c r="J279" s="160"/>
      <c r="K279" s="161"/>
      <c r="L279" s="17" t="s">
        <v>71</v>
      </c>
    </row>
    <row r="280" spans="1:12" x14ac:dyDescent="0.25">
      <c r="A280" s="22" t="s">
        <v>418</v>
      </c>
      <c r="B280" s="140" t="s">
        <v>419</v>
      </c>
      <c r="C280" s="141"/>
      <c r="D280" s="142"/>
      <c r="E280" s="23">
        <v>3300.97</v>
      </c>
      <c r="F280" s="160"/>
      <c r="G280" s="160"/>
      <c r="H280" s="160"/>
      <c r="I280" s="160"/>
      <c r="J280" s="160"/>
      <c r="K280" s="161"/>
      <c r="L280" s="17" t="s">
        <v>71</v>
      </c>
    </row>
    <row r="281" spans="1:12" x14ac:dyDescent="0.25">
      <c r="A281" s="22" t="s">
        <v>417</v>
      </c>
      <c r="B281" s="140" t="s">
        <v>203</v>
      </c>
      <c r="C281" s="141"/>
      <c r="D281" s="142"/>
      <c r="E281" s="23">
        <v>1194.54</v>
      </c>
      <c r="F281" s="160"/>
      <c r="G281" s="160"/>
      <c r="H281" s="160"/>
      <c r="I281" s="160"/>
      <c r="J281" s="160"/>
      <c r="K281" s="161"/>
      <c r="L281" s="17" t="s">
        <v>71</v>
      </c>
    </row>
    <row r="282" spans="1:12" x14ac:dyDescent="0.25">
      <c r="A282" s="22" t="s">
        <v>356</v>
      </c>
      <c r="B282" s="140" t="s">
        <v>357</v>
      </c>
      <c r="C282" s="141"/>
      <c r="D282" s="142"/>
      <c r="E282" s="23">
        <v>1080.06</v>
      </c>
      <c r="F282" s="160"/>
      <c r="G282" s="160"/>
      <c r="H282" s="160"/>
      <c r="I282" s="160"/>
      <c r="J282" s="160"/>
      <c r="K282" s="161"/>
      <c r="L282" s="17" t="s">
        <v>71</v>
      </c>
    </row>
    <row r="283" spans="1:12" x14ac:dyDescent="0.25">
      <c r="A283" s="22" t="s">
        <v>83</v>
      </c>
      <c r="B283" s="140" t="s">
        <v>654</v>
      </c>
      <c r="C283" s="141"/>
      <c r="D283" s="142"/>
      <c r="E283" s="23">
        <v>1726.45</v>
      </c>
      <c r="F283" s="160"/>
      <c r="G283" s="160"/>
      <c r="H283" s="160"/>
      <c r="I283" s="160"/>
      <c r="J283" s="160"/>
      <c r="K283" s="161"/>
      <c r="L283" s="17" t="s">
        <v>71</v>
      </c>
    </row>
    <row r="284" spans="1:12" x14ac:dyDescent="0.25">
      <c r="A284" s="22" t="s">
        <v>412</v>
      </c>
      <c r="B284" s="143" t="s">
        <v>79</v>
      </c>
      <c r="C284" s="144"/>
      <c r="D284" s="145"/>
      <c r="E284" s="23">
        <v>419.8</v>
      </c>
      <c r="F284" s="160"/>
      <c r="G284" s="160"/>
      <c r="H284" s="160"/>
      <c r="I284" s="160"/>
      <c r="J284" s="160"/>
      <c r="K284" s="161"/>
      <c r="L284" s="17" t="s">
        <v>71</v>
      </c>
    </row>
    <row r="285" spans="1:12" ht="16.5" thickBot="1" x14ac:dyDescent="0.3">
      <c r="A285" s="91" t="s">
        <v>413</v>
      </c>
      <c r="B285" s="149" t="s">
        <v>414</v>
      </c>
      <c r="C285" s="150"/>
      <c r="D285" s="151"/>
      <c r="E285" s="29">
        <v>360.35</v>
      </c>
      <c r="F285" s="171"/>
      <c r="G285" s="171"/>
      <c r="H285" s="171"/>
      <c r="I285" s="171"/>
      <c r="J285" s="171"/>
      <c r="K285" s="172"/>
      <c r="L285" s="26" t="s">
        <v>71</v>
      </c>
    </row>
    <row r="286" spans="1:12" x14ac:dyDescent="0.25">
      <c r="A286" s="68"/>
      <c r="B286" s="69"/>
      <c r="C286" s="46"/>
      <c r="D286" s="46"/>
      <c r="F286" s="47"/>
      <c r="G286" s="47"/>
      <c r="H286" s="47"/>
      <c r="I286" s="47"/>
      <c r="J286" s="47"/>
      <c r="K286" s="47"/>
    </row>
    <row r="287" spans="1:12" x14ac:dyDescent="0.25">
      <c r="B287" s="176" t="s">
        <v>464</v>
      </c>
      <c r="C287" s="176"/>
      <c r="D287" s="176"/>
      <c r="E287" s="6">
        <f>SUM(E39:E47)</f>
        <v>1385.92</v>
      </c>
      <c r="F287" s="6"/>
      <c r="G287" s="6"/>
      <c r="H287" s="6"/>
      <c r="I287" s="6"/>
      <c r="J287" s="6"/>
      <c r="K287" s="6"/>
    </row>
    <row r="288" spans="1:12" x14ac:dyDescent="0.25">
      <c r="B288" s="176" t="s">
        <v>465</v>
      </c>
      <c r="C288" s="176"/>
      <c r="D288" s="176"/>
      <c r="E288" s="6">
        <f>SUM(E20:E37)</f>
        <v>3371.73</v>
      </c>
    </row>
    <row r="289" spans="2:5" x14ac:dyDescent="0.25">
      <c r="B289" s="176" t="s">
        <v>466</v>
      </c>
      <c r="C289" s="176"/>
      <c r="D289" s="176"/>
      <c r="E289" s="6">
        <f>SUM(E49:E113)</f>
        <v>44636.799999999988</v>
      </c>
    </row>
    <row r="294" spans="2:5" ht="18.75" x14ac:dyDescent="0.3">
      <c r="B294" s="48"/>
    </row>
  </sheetData>
  <mergeCells count="559">
    <mergeCell ref="H50:K50"/>
    <mergeCell ref="H51:K51"/>
    <mergeCell ref="H52:K52"/>
    <mergeCell ref="H53:K53"/>
    <mergeCell ref="H54:K54"/>
    <mergeCell ref="H55:K55"/>
    <mergeCell ref="H56:K56"/>
    <mergeCell ref="H57:K57"/>
    <mergeCell ref="H58:K58"/>
    <mergeCell ref="H59:K59"/>
    <mergeCell ref="H60:K60"/>
    <mergeCell ref="H61:K61"/>
    <mergeCell ref="H62:K62"/>
    <mergeCell ref="H63:K63"/>
    <mergeCell ref="H64:K64"/>
    <mergeCell ref="B104:D104"/>
    <mergeCell ref="B105:D105"/>
    <mergeCell ref="B94:D94"/>
    <mergeCell ref="B95:D95"/>
    <mergeCell ref="B96:D96"/>
    <mergeCell ref="B97:D97"/>
    <mergeCell ref="B98:D98"/>
    <mergeCell ref="H94:K94"/>
    <mergeCell ref="H95:K95"/>
    <mergeCell ref="H96:K96"/>
    <mergeCell ref="H97:K97"/>
    <mergeCell ref="H98:K98"/>
    <mergeCell ref="B89:D89"/>
    <mergeCell ref="B90:D90"/>
    <mergeCell ref="B91:D91"/>
    <mergeCell ref="B92:D92"/>
    <mergeCell ref="B93:D93"/>
    <mergeCell ref="H91:K91"/>
    <mergeCell ref="B106:D106"/>
    <mergeCell ref="B107:D107"/>
    <mergeCell ref="B108:D108"/>
    <mergeCell ref="H104:K104"/>
    <mergeCell ref="H105:K105"/>
    <mergeCell ref="H106:K106"/>
    <mergeCell ref="H107:K107"/>
    <mergeCell ref="H108:K108"/>
    <mergeCell ref="B99:D99"/>
    <mergeCell ref="B100:D100"/>
    <mergeCell ref="B101:D101"/>
    <mergeCell ref="B102:D102"/>
    <mergeCell ref="B103:D103"/>
    <mergeCell ref="H99:K99"/>
    <mergeCell ref="H100:K100"/>
    <mergeCell ref="H101:K101"/>
    <mergeCell ref="H102:K102"/>
    <mergeCell ref="H103:K103"/>
    <mergeCell ref="H92:K92"/>
    <mergeCell ref="H93:K93"/>
    <mergeCell ref="B84:D84"/>
    <mergeCell ref="B85:D85"/>
    <mergeCell ref="B86:D86"/>
    <mergeCell ref="B87:D87"/>
    <mergeCell ref="B88:D88"/>
    <mergeCell ref="H84:K84"/>
    <mergeCell ref="H85:K85"/>
    <mergeCell ref="H86:K86"/>
    <mergeCell ref="H87:K87"/>
    <mergeCell ref="H88:K88"/>
    <mergeCell ref="B82:D82"/>
    <mergeCell ref="B83:D83"/>
    <mergeCell ref="H79:K79"/>
    <mergeCell ref="H80:K80"/>
    <mergeCell ref="H81:K81"/>
    <mergeCell ref="H82:K82"/>
    <mergeCell ref="H83:K83"/>
    <mergeCell ref="H89:K89"/>
    <mergeCell ref="H90:K90"/>
    <mergeCell ref="B78:D78"/>
    <mergeCell ref="H74:K74"/>
    <mergeCell ref="H75:K75"/>
    <mergeCell ref="H76:K76"/>
    <mergeCell ref="H77:K77"/>
    <mergeCell ref="H78:K78"/>
    <mergeCell ref="B79:D79"/>
    <mergeCell ref="B80:D80"/>
    <mergeCell ref="B81:D81"/>
    <mergeCell ref="H69:K69"/>
    <mergeCell ref="H70:K70"/>
    <mergeCell ref="H71:K71"/>
    <mergeCell ref="H72:K72"/>
    <mergeCell ref="H73:K73"/>
    <mergeCell ref="B74:D74"/>
    <mergeCell ref="B75:D75"/>
    <mergeCell ref="B76:D76"/>
    <mergeCell ref="B77:D77"/>
    <mergeCell ref="B176:D176"/>
    <mergeCell ref="F176:K176"/>
    <mergeCell ref="B177:D177"/>
    <mergeCell ref="F177:K177"/>
    <mergeCell ref="B178:D178"/>
    <mergeCell ref="F178:K178"/>
    <mergeCell ref="B179:D179"/>
    <mergeCell ref="F179:K179"/>
    <mergeCell ref="B50:D50"/>
    <mergeCell ref="B51:D51"/>
    <mergeCell ref="B52:D52"/>
    <mergeCell ref="B53:D53"/>
    <mergeCell ref="B54:D54"/>
    <mergeCell ref="B55:D55"/>
    <mergeCell ref="B56:D56"/>
    <mergeCell ref="B57:D57"/>
    <mergeCell ref="B171:D171"/>
    <mergeCell ref="F171:K171"/>
    <mergeCell ref="B172:D172"/>
    <mergeCell ref="F172:K172"/>
    <mergeCell ref="B173:D173"/>
    <mergeCell ref="F173:K173"/>
    <mergeCell ref="B174:D174"/>
    <mergeCell ref="F174:K174"/>
    <mergeCell ref="B175:D175"/>
    <mergeCell ref="F175:K175"/>
    <mergeCell ref="B166:D166"/>
    <mergeCell ref="F166:K166"/>
    <mergeCell ref="B167:D167"/>
    <mergeCell ref="F167:K167"/>
    <mergeCell ref="B168:D168"/>
    <mergeCell ref="F168:K168"/>
    <mergeCell ref="B169:D169"/>
    <mergeCell ref="F169:K169"/>
    <mergeCell ref="B170:D170"/>
    <mergeCell ref="F170:K170"/>
    <mergeCell ref="B161:D161"/>
    <mergeCell ref="F161:K161"/>
    <mergeCell ref="B162:D162"/>
    <mergeCell ref="F162:K162"/>
    <mergeCell ref="B163:D163"/>
    <mergeCell ref="F163:K163"/>
    <mergeCell ref="B164:D164"/>
    <mergeCell ref="F164:K164"/>
    <mergeCell ref="B165:D165"/>
    <mergeCell ref="F165:K165"/>
    <mergeCell ref="B156:D156"/>
    <mergeCell ref="F156:K156"/>
    <mergeCell ref="B157:D157"/>
    <mergeCell ref="F157:K157"/>
    <mergeCell ref="B158:D158"/>
    <mergeCell ref="F158:K158"/>
    <mergeCell ref="B159:D159"/>
    <mergeCell ref="F159:K159"/>
    <mergeCell ref="B160:D160"/>
    <mergeCell ref="F160:K160"/>
    <mergeCell ref="B151:D151"/>
    <mergeCell ref="F151:K151"/>
    <mergeCell ref="B152:D152"/>
    <mergeCell ref="F152:K152"/>
    <mergeCell ref="B153:D153"/>
    <mergeCell ref="F153:K153"/>
    <mergeCell ref="B154:D154"/>
    <mergeCell ref="F154:K154"/>
    <mergeCell ref="B155:D155"/>
    <mergeCell ref="F155:K155"/>
    <mergeCell ref="B146:D146"/>
    <mergeCell ref="F146:K146"/>
    <mergeCell ref="B147:D147"/>
    <mergeCell ref="F147:K147"/>
    <mergeCell ref="B148:D148"/>
    <mergeCell ref="F148:K148"/>
    <mergeCell ref="B149:D149"/>
    <mergeCell ref="F149:K149"/>
    <mergeCell ref="B150:D150"/>
    <mergeCell ref="F150:K150"/>
    <mergeCell ref="B141:D141"/>
    <mergeCell ref="F141:K141"/>
    <mergeCell ref="B142:D142"/>
    <mergeCell ref="F142:K142"/>
    <mergeCell ref="B143:D143"/>
    <mergeCell ref="F143:K143"/>
    <mergeCell ref="B144:D144"/>
    <mergeCell ref="F144:K144"/>
    <mergeCell ref="B145:D145"/>
    <mergeCell ref="F145:K145"/>
    <mergeCell ref="B136:D136"/>
    <mergeCell ref="F136:K136"/>
    <mergeCell ref="B137:D137"/>
    <mergeCell ref="F137:K137"/>
    <mergeCell ref="B138:D138"/>
    <mergeCell ref="F138:K138"/>
    <mergeCell ref="B139:D139"/>
    <mergeCell ref="F139:K139"/>
    <mergeCell ref="B140:D140"/>
    <mergeCell ref="F140:K140"/>
    <mergeCell ref="B131:D131"/>
    <mergeCell ref="F131:K131"/>
    <mergeCell ref="B132:D132"/>
    <mergeCell ref="F132:K132"/>
    <mergeCell ref="B133:D133"/>
    <mergeCell ref="F133:K133"/>
    <mergeCell ref="B134:D134"/>
    <mergeCell ref="F134:K134"/>
    <mergeCell ref="B135:D135"/>
    <mergeCell ref="F135:K135"/>
    <mergeCell ref="B126:D126"/>
    <mergeCell ref="F126:K126"/>
    <mergeCell ref="B127:D127"/>
    <mergeCell ref="F127:K127"/>
    <mergeCell ref="B128:D128"/>
    <mergeCell ref="F128:K128"/>
    <mergeCell ref="B129:D129"/>
    <mergeCell ref="F129:K129"/>
    <mergeCell ref="B130:D130"/>
    <mergeCell ref="F130:K130"/>
    <mergeCell ref="B121:D121"/>
    <mergeCell ref="F121:K121"/>
    <mergeCell ref="B122:D122"/>
    <mergeCell ref="F122:K122"/>
    <mergeCell ref="B123:D123"/>
    <mergeCell ref="F123:K123"/>
    <mergeCell ref="B124:D124"/>
    <mergeCell ref="F124:K124"/>
    <mergeCell ref="B125:D125"/>
    <mergeCell ref="F125:K125"/>
    <mergeCell ref="B116:D116"/>
    <mergeCell ref="F116:K116"/>
    <mergeCell ref="B117:D117"/>
    <mergeCell ref="F117:K117"/>
    <mergeCell ref="B118:D118"/>
    <mergeCell ref="F118:K118"/>
    <mergeCell ref="B119:D119"/>
    <mergeCell ref="F119:K119"/>
    <mergeCell ref="B120:D120"/>
    <mergeCell ref="F120:K120"/>
    <mergeCell ref="B252:D252"/>
    <mergeCell ref="F252:K252"/>
    <mergeCell ref="B253:D253"/>
    <mergeCell ref="F253:K253"/>
    <mergeCell ref="B254:D254"/>
    <mergeCell ref="F254:K254"/>
    <mergeCell ref="B255:D255"/>
    <mergeCell ref="F255:K255"/>
    <mergeCell ref="B256:D256"/>
    <mergeCell ref="F256:K256"/>
    <mergeCell ref="B243:D243"/>
    <mergeCell ref="F243:K243"/>
    <mergeCell ref="B244:D244"/>
    <mergeCell ref="F244:K244"/>
    <mergeCell ref="B236:D236"/>
    <mergeCell ref="F236:K236"/>
    <mergeCell ref="B245:D245"/>
    <mergeCell ref="F245:K245"/>
    <mergeCell ref="B237:D237"/>
    <mergeCell ref="F237:K237"/>
    <mergeCell ref="B238:D238"/>
    <mergeCell ref="F238:K238"/>
    <mergeCell ref="B239:D239"/>
    <mergeCell ref="F239:K239"/>
    <mergeCell ref="B240:D240"/>
    <mergeCell ref="F240:K240"/>
    <mergeCell ref="B241:D241"/>
    <mergeCell ref="F241:K241"/>
    <mergeCell ref="B251:D251"/>
    <mergeCell ref="F251:K251"/>
    <mergeCell ref="B231:D231"/>
    <mergeCell ref="F231:K231"/>
    <mergeCell ref="B232:D232"/>
    <mergeCell ref="F232:K232"/>
    <mergeCell ref="B233:D233"/>
    <mergeCell ref="F233:K233"/>
    <mergeCell ref="B234:D234"/>
    <mergeCell ref="F234:K234"/>
    <mergeCell ref="B235:D235"/>
    <mergeCell ref="F235:K235"/>
    <mergeCell ref="B246:D246"/>
    <mergeCell ref="F246:K246"/>
    <mergeCell ref="B247:D247"/>
    <mergeCell ref="F247:K247"/>
    <mergeCell ref="B248:D248"/>
    <mergeCell ref="F248:K248"/>
    <mergeCell ref="B249:D249"/>
    <mergeCell ref="F249:K249"/>
    <mergeCell ref="B250:D250"/>
    <mergeCell ref="F250:K250"/>
    <mergeCell ref="B242:D242"/>
    <mergeCell ref="F242:K242"/>
    <mergeCell ref="B226:D226"/>
    <mergeCell ref="F226:K226"/>
    <mergeCell ref="B227:D227"/>
    <mergeCell ref="F227:K227"/>
    <mergeCell ref="B228:D228"/>
    <mergeCell ref="F228:K228"/>
    <mergeCell ref="B229:D229"/>
    <mergeCell ref="F229:K229"/>
    <mergeCell ref="B230:D230"/>
    <mergeCell ref="F230:K230"/>
    <mergeCell ref="B221:D221"/>
    <mergeCell ref="F221:K221"/>
    <mergeCell ref="B222:D222"/>
    <mergeCell ref="F222:K222"/>
    <mergeCell ref="B223:D223"/>
    <mergeCell ref="F223:K223"/>
    <mergeCell ref="B224:D224"/>
    <mergeCell ref="F224:K224"/>
    <mergeCell ref="B225:D225"/>
    <mergeCell ref="F225:K225"/>
    <mergeCell ref="B216:D216"/>
    <mergeCell ref="F216:K216"/>
    <mergeCell ref="B217:D217"/>
    <mergeCell ref="F217:K217"/>
    <mergeCell ref="B218:D218"/>
    <mergeCell ref="F218:K218"/>
    <mergeCell ref="B219:D219"/>
    <mergeCell ref="F219:K219"/>
    <mergeCell ref="B220:D220"/>
    <mergeCell ref="F220:K220"/>
    <mergeCell ref="B211:D211"/>
    <mergeCell ref="F211:K211"/>
    <mergeCell ref="B212:D212"/>
    <mergeCell ref="F212:K212"/>
    <mergeCell ref="B213:D213"/>
    <mergeCell ref="F213:K213"/>
    <mergeCell ref="B214:D214"/>
    <mergeCell ref="F214:K214"/>
    <mergeCell ref="B215:D215"/>
    <mergeCell ref="F215:K215"/>
    <mergeCell ref="B206:D206"/>
    <mergeCell ref="F206:K206"/>
    <mergeCell ref="B207:D207"/>
    <mergeCell ref="F207:K207"/>
    <mergeCell ref="B208:D208"/>
    <mergeCell ref="F208:K208"/>
    <mergeCell ref="B209:D209"/>
    <mergeCell ref="F209:K209"/>
    <mergeCell ref="B210:D210"/>
    <mergeCell ref="F210:K210"/>
    <mergeCell ref="B201:D201"/>
    <mergeCell ref="F201:K201"/>
    <mergeCell ref="B202:D202"/>
    <mergeCell ref="F202:K202"/>
    <mergeCell ref="B203:D203"/>
    <mergeCell ref="F203:K203"/>
    <mergeCell ref="B204:D204"/>
    <mergeCell ref="F204:K204"/>
    <mergeCell ref="B205:D205"/>
    <mergeCell ref="F205:K205"/>
    <mergeCell ref="B196:D196"/>
    <mergeCell ref="F196:K196"/>
    <mergeCell ref="B197:D197"/>
    <mergeCell ref="F197:K197"/>
    <mergeCell ref="B198:D198"/>
    <mergeCell ref="F198:K198"/>
    <mergeCell ref="B199:D199"/>
    <mergeCell ref="F199:K199"/>
    <mergeCell ref="B200:D200"/>
    <mergeCell ref="F200:K200"/>
    <mergeCell ref="B191:D191"/>
    <mergeCell ref="F191:K191"/>
    <mergeCell ref="B192:D192"/>
    <mergeCell ref="F192:K192"/>
    <mergeCell ref="B193:D193"/>
    <mergeCell ref="F193:K193"/>
    <mergeCell ref="B194:D194"/>
    <mergeCell ref="F194:K194"/>
    <mergeCell ref="B195:D195"/>
    <mergeCell ref="F195:K195"/>
    <mergeCell ref="B186:D186"/>
    <mergeCell ref="F186:K186"/>
    <mergeCell ref="B187:D187"/>
    <mergeCell ref="F187:K187"/>
    <mergeCell ref="B188:D188"/>
    <mergeCell ref="F188:K188"/>
    <mergeCell ref="B189:D189"/>
    <mergeCell ref="F189:K189"/>
    <mergeCell ref="B190:D190"/>
    <mergeCell ref="F190:K190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B45:D45"/>
    <mergeCell ref="F45:K45"/>
    <mergeCell ref="B46:D46"/>
    <mergeCell ref="F46:K46"/>
    <mergeCell ref="B47:D47"/>
    <mergeCell ref="F47:K47"/>
    <mergeCell ref="H49:K49"/>
    <mergeCell ref="B58:D58"/>
    <mergeCell ref="B59:D59"/>
    <mergeCell ref="B60:D60"/>
    <mergeCell ref="B61:D61"/>
    <mergeCell ref="B62:D62"/>
    <mergeCell ref="B63:D63"/>
    <mergeCell ref="B110:D110"/>
    <mergeCell ref="F110:K110"/>
    <mergeCell ref="B111:D111"/>
    <mergeCell ref="F111:K111"/>
    <mergeCell ref="B64:D64"/>
    <mergeCell ref="B65:D65"/>
    <mergeCell ref="B66:D66"/>
    <mergeCell ref="B67:D67"/>
    <mergeCell ref="B68:D68"/>
    <mergeCell ref="H65:K65"/>
    <mergeCell ref="H66:K66"/>
    <mergeCell ref="H67:K67"/>
    <mergeCell ref="H68:K68"/>
    <mergeCell ref="B69:D69"/>
    <mergeCell ref="B70:D70"/>
    <mergeCell ref="B71:D71"/>
    <mergeCell ref="B72:D72"/>
    <mergeCell ref="B73:D73"/>
    <mergeCell ref="B112:D112"/>
    <mergeCell ref="F112:K112"/>
    <mergeCell ref="B109:D109"/>
    <mergeCell ref="F109:K109"/>
    <mergeCell ref="B113:D113"/>
    <mergeCell ref="F113:K113"/>
    <mergeCell ref="B114:D114"/>
    <mergeCell ref="F114:K114"/>
    <mergeCell ref="B115:D115"/>
    <mergeCell ref="F115:K115"/>
    <mergeCell ref="B180:D180"/>
    <mergeCell ref="F180:K180"/>
    <mergeCell ref="B181:D181"/>
    <mergeCell ref="F181:K181"/>
    <mergeCell ref="B182:D182"/>
    <mergeCell ref="F182:K182"/>
    <mergeCell ref="B183:D183"/>
    <mergeCell ref="F183:K183"/>
    <mergeCell ref="B184:D184"/>
    <mergeCell ref="F184:K184"/>
    <mergeCell ref="B185:D185"/>
    <mergeCell ref="F185:K185"/>
    <mergeCell ref="B258:D258"/>
    <mergeCell ref="F258:K258"/>
    <mergeCell ref="B268:D268"/>
    <mergeCell ref="F268:K268"/>
    <mergeCell ref="B269:D269"/>
    <mergeCell ref="F269:K269"/>
    <mergeCell ref="B257:D257"/>
    <mergeCell ref="F257:K257"/>
    <mergeCell ref="B259:D259"/>
    <mergeCell ref="F259:K259"/>
    <mergeCell ref="B260:D260"/>
    <mergeCell ref="F260:K260"/>
    <mergeCell ref="B261:D261"/>
    <mergeCell ref="F261:K261"/>
    <mergeCell ref="B262:D262"/>
    <mergeCell ref="F262:K262"/>
    <mergeCell ref="B263:D263"/>
    <mergeCell ref="F263:K263"/>
    <mergeCell ref="B264:D264"/>
    <mergeCell ref="F264:K264"/>
    <mergeCell ref="B265:D265"/>
    <mergeCell ref="F265:K265"/>
    <mergeCell ref="B288:D288"/>
    <mergeCell ref="B289:D289"/>
    <mergeCell ref="B276:D276"/>
    <mergeCell ref="F276:K276"/>
    <mergeCell ref="B283:D283"/>
    <mergeCell ref="F283:K283"/>
    <mergeCell ref="B284:D284"/>
    <mergeCell ref="F284:K284"/>
    <mergeCell ref="B287:D287"/>
    <mergeCell ref="B282:D282"/>
    <mergeCell ref="F282:K282"/>
    <mergeCell ref="B279:D279"/>
    <mergeCell ref="F279:K279"/>
    <mergeCell ref="B281:D281"/>
    <mergeCell ref="F281:K281"/>
    <mergeCell ref="B280:D280"/>
    <mergeCell ref="F280:K280"/>
    <mergeCell ref="B278:D278"/>
    <mergeCell ref="F278:K278"/>
    <mergeCell ref="B266:D266"/>
    <mergeCell ref="F266:K266"/>
    <mergeCell ref="B267:D267"/>
    <mergeCell ref="F267:K267"/>
    <mergeCell ref="B277:D277"/>
    <mergeCell ref="F277:K277"/>
    <mergeCell ref="B285:D285"/>
    <mergeCell ref="F285:K285"/>
    <mergeCell ref="B273:D273"/>
    <mergeCell ref="F273:K273"/>
    <mergeCell ref="B274:D274"/>
    <mergeCell ref="F274:K274"/>
    <mergeCell ref="B275:D275"/>
    <mergeCell ref="F275:K275"/>
    <mergeCell ref="B270:D270"/>
    <mergeCell ref="F270:K270"/>
    <mergeCell ref="B271:D271"/>
    <mergeCell ref="F271:K271"/>
    <mergeCell ref="B272:D272"/>
    <mergeCell ref="F272:K272"/>
  </mergeCells>
  <phoneticPr fontId="10" type="noConversion"/>
  <conditionalFormatting sqref="A18:A19 M48:XFD108 B109:XFD113 B257:XFD258">
    <cfRule type="cellIs" dxfId="363" priority="1" stopIfTrue="1" operator="equal">
      <formula>"OK"</formula>
    </cfRule>
  </conditionalFormatting>
  <conditionalFormatting sqref="A292:XFD1048576">
    <cfRule type="cellIs" dxfId="362" priority="13" stopIfTrue="1" operator="equal">
      <formula>"OK"</formula>
    </cfRule>
  </conditionalFormatting>
  <conditionalFormatting sqref="B49:B108 B20:H37">
    <cfRule type="expression" dxfId="361" priority="20">
      <formula>$J20="ancien paiement"</formula>
    </cfRule>
  </conditionalFormatting>
  <conditionalFormatting sqref="B116:B256 E116:F256 B259:D268 E259:F269 B269 B270:XFD270 B271 E271:F271 B272:XFD291 B19:H37 B38:XFD47 B114:XFD115 B1:J1 M1:XFD1 A2:XFD2 E3 G3:I3 M3:XFD3 B3:D6 K4 P4:XFD7 K5:L7 B7:I7 B8:D8 F8 I8 M8:XFD8 L9:XFD16 A17:XFD17 M18:XFD18 L19:XFD37 L116:XFD256 L259:XFD269 L271:XFD271">
    <cfRule type="cellIs" dxfId="360" priority="22" stopIfTrue="1" operator="equal">
      <formula>"OK"</formula>
    </cfRule>
  </conditionalFormatting>
  <conditionalFormatting sqref="B9:I16">
    <cfRule type="cellIs" dxfId="359" priority="11" stopIfTrue="1" operator="equal">
      <formula>"OK"</formula>
    </cfRule>
  </conditionalFormatting>
  <conditionalFormatting sqref="B39:K39">
    <cfRule type="expression" dxfId="358" priority="18">
      <formula>$J39="ancien paiement"</formula>
    </cfRule>
  </conditionalFormatting>
  <conditionalFormatting sqref="B39:K48 B49:B108">
    <cfRule type="expression" dxfId="357" priority="5">
      <formula>$F39="ancien paiement"</formula>
    </cfRule>
  </conditionalFormatting>
  <conditionalFormatting sqref="B41:K48">
    <cfRule type="expression" dxfId="356" priority="6">
      <formula>$J41="ancien paiement"</formula>
    </cfRule>
  </conditionalFormatting>
  <conditionalFormatting sqref="B110:K115">
    <cfRule type="expression" dxfId="355" priority="7">
      <formula>$F110="ancien paiement"</formula>
    </cfRule>
    <cfRule type="expression" dxfId="354" priority="8">
      <formula>$J110="ancien paiement"</formula>
    </cfRule>
  </conditionalFormatting>
  <conditionalFormatting sqref="B258:K258">
    <cfRule type="expression" dxfId="353" priority="14">
      <formula>$F258="ancien paiement"</formula>
    </cfRule>
    <cfRule type="expression" dxfId="352" priority="15">
      <formula>$J258="ancien paiement"</formula>
    </cfRule>
  </conditionalFormatting>
  <conditionalFormatting sqref="B48:L48 B49:H49 B50:D108 L49:L108">
    <cfRule type="cellIs" dxfId="351" priority="9" stopIfTrue="1" operator="equal">
      <formula>"OK"</formula>
    </cfRule>
  </conditionalFormatting>
  <conditionalFormatting sqref="E49">
    <cfRule type="expression" dxfId="350" priority="10">
      <formula>#REF!="ancien paiement"</formula>
    </cfRule>
  </conditionalFormatting>
  <conditionalFormatting sqref="E49:F108 B116:B256 E116:F256 B259:D268 E259:F269 B269 B270:K270 B271 E271:F271 B272:K285">
    <cfRule type="expression" dxfId="349" priority="19">
      <formula>$F49="ancien paiement"</formula>
    </cfRule>
    <cfRule type="expression" dxfId="348" priority="21">
      <formula>$J49="ancien paiement"</formula>
    </cfRule>
  </conditionalFormatting>
  <conditionalFormatting sqref="E50:H108">
    <cfRule type="cellIs" dxfId="347" priority="4" stopIfTrue="1" operator="equal">
      <formula>"OK"</formula>
    </cfRule>
  </conditionalFormatting>
  <conditionalFormatting sqref="E4:I6">
    <cfRule type="cellIs" dxfId="346" priority="12" stopIfTrue="1" operator="equal">
      <formula>"OK"</formula>
    </cfRule>
  </conditionalFormatting>
  <pageMargins left="0.7" right="0.7" top="0.75" bottom="0.75" header="0.3" footer="0.3"/>
  <pageSetup paperSize="9" scale="48" fitToHeight="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EC2-8104-425E-B084-24D81D5FC45B}">
  <dimension ref="A1:N161"/>
  <sheetViews>
    <sheetView topLeftCell="A22" workbookViewId="0">
      <selection activeCell="B41" sqref="B41:D41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46129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1067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7485</v>
      </c>
      <c r="G4" s="1" t="s">
        <v>1068</v>
      </c>
      <c r="I4" s="112" t="s">
        <v>3</v>
      </c>
      <c r="J4" s="113"/>
      <c r="K4" s="114">
        <f>E154+C14</f>
        <v>7489.95</v>
      </c>
      <c r="L4" s="115"/>
      <c r="N4" s="6"/>
    </row>
    <row r="5" spans="2:14" ht="16.5" thickBot="1" x14ac:dyDescent="0.3">
      <c r="E5" s="7" t="s">
        <v>4</v>
      </c>
      <c r="F5" s="8">
        <v>5871.81</v>
      </c>
      <c r="G5" s="1" t="s">
        <v>1069</v>
      </c>
      <c r="I5" s="95" t="s">
        <v>5</v>
      </c>
      <c r="J5" s="96"/>
      <c r="K5" s="97">
        <f>E15+E155</f>
        <v>5871.8099999999995</v>
      </c>
      <c r="L5" s="98"/>
      <c r="N5" s="6"/>
    </row>
    <row r="6" spans="2:14" ht="16.5" thickBot="1" x14ac:dyDescent="0.3">
      <c r="E6" s="9" t="s">
        <v>445</v>
      </c>
      <c r="F6" s="85">
        <v>4.95</v>
      </c>
      <c r="I6" s="95" t="s">
        <v>446</v>
      </c>
      <c r="J6" s="96"/>
      <c r="K6" s="97">
        <f>G15+E156</f>
        <v>95422.85</v>
      </c>
      <c r="L6" s="98"/>
    </row>
    <row r="7" spans="2:14" ht="16.5" thickBot="1" x14ac:dyDescent="0.3">
      <c r="I7" s="99" t="s">
        <v>6</v>
      </c>
      <c r="J7" s="100"/>
      <c r="K7" s="101">
        <f>SUM(E129:E138)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2950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2280</v>
      </c>
      <c r="D10" s="19" t="s">
        <v>547</v>
      </c>
      <c r="E10" s="49">
        <v>584.86</v>
      </c>
      <c r="F10" s="20" t="s">
        <v>9</v>
      </c>
      <c r="G10" s="21">
        <v>23215.07</v>
      </c>
      <c r="H10" s="6"/>
      <c r="I10" s="137" t="s">
        <v>438</v>
      </c>
      <c r="J10" s="138"/>
      <c r="K10" s="139"/>
      <c r="L10" s="21">
        <v>80</v>
      </c>
    </row>
    <row r="11" spans="2:14" ht="21.6" customHeight="1" x14ac:dyDescent="0.25">
      <c r="B11" s="17" t="s">
        <v>453</v>
      </c>
      <c r="C11" s="18">
        <v>1560</v>
      </c>
      <c r="D11" s="22" t="s">
        <v>658</v>
      </c>
      <c r="E11" s="50">
        <v>296.20999999999998</v>
      </c>
      <c r="F11" s="23" t="s">
        <v>454</v>
      </c>
      <c r="G11" s="24"/>
      <c r="H11" s="6"/>
      <c r="I11" s="140" t="s">
        <v>1070</v>
      </c>
      <c r="J11" s="141"/>
      <c r="K11" s="142"/>
      <c r="L11" s="21">
        <v>70</v>
      </c>
    </row>
    <row r="12" spans="2:14" ht="21.6" customHeight="1" x14ac:dyDescent="0.25">
      <c r="B12" s="17" t="s">
        <v>455</v>
      </c>
      <c r="C12" s="18">
        <v>65</v>
      </c>
      <c r="D12" s="22"/>
      <c r="E12" s="50"/>
      <c r="F12" s="23"/>
      <c r="G12" s="24"/>
      <c r="H12" s="6"/>
      <c r="I12" s="183" t="s">
        <v>472</v>
      </c>
      <c r="J12" s="184"/>
      <c r="K12" s="185"/>
      <c r="L12" s="84">
        <v>40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1071</v>
      </c>
      <c r="J13" s="141"/>
      <c r="K13" s="142"/>
      <c r="L13" s="24">
        <v>100</v>
      </c>
    </row>
    <row r="14" spans="2:14" ht="23.85" customHeight="1" x14ac:dyDescent="0.25">
      <c r="B14" s="25" t="s">
        <v>11</v>
      </c>
      <c r="C14" s="18">
        <f>SUM(C9:C13)</f>
        <v>6855</v>
      </c>
      <c r="D14" s="22"/>
      <c r="E14" s="50"/>
      <c r="F14" s="23"/>
      <c r="G14" s="24"/>
      <c r="H14" s="6"/>
      <c r="I14" s="183" t="s">
        <v>318</v>
      </c>
      <c r="J14" s="184"/>
      <c r="K14" s="185"/>
      <c r="L14" s="84">
        <v>20</v>
      </c>
    </row>
    <row r="15" spans="2:14" ht="24.6" customHeight="1" thickBot="1" x14ac:dyDescent="0.3">
      <c r="B15" s="26" t="s">
        <v>456</v>
      </c>
      <c r="C15" s="27">
        <v>250</v>
      </c>
      <c r="D15" s="28" t="s">
        <v>11</v>
      </c>
      <c r="E15" s="29">
        <f>SUM(E10:E14)</f>
        <v>881.06999999999994</v>
      </c>
      <c r="F15" s="30" t="s">
        <v>11</v>
      </c>
      <c r="G15" s="31">
        <f>SUM(G10:G14)</f>
        <v>23215.07</v>
      </c>
      <c r="H15" s="6"/>
      <c r="I15" s="116" t="s">
        <v>457</v>
      </c>
      <c r="J15" s="117"/>
      <c r="K15" s="118"/>
      <c r="L15" s="32">
        <f>C15-'15'!C15</f>
        <v>-26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-284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437</v>
      </c>
      <c r="B20" s="128" t="s">
        <v>168</v>
      </c>
      <c r="C20" s="129"/>
      <c r="D20" s="130"/>
      <c r="E20" s="20">
        <v>2792.16</v>
      </c>
      <c r="F20" s="12" t="s">
        <v>858</v>
      </c>
      <c r="G20" s="51">
        <v>5761216</v>
      </c>
      <c r="H20" s="131" t="s">
        <v>859</v>
      </c>
      <c r="I20" s="132"/>
      <c r="J20" s="132"/>
      <c r="K20" s="133"/>
      <c r="L20" s="20" t="s">
        <v>71</v>
      </c>
    </row>
    <row r="21" spans="1:12" x14ac:dyDescent="0.25">
      <c r="A21" s="66" t="s">
        <v>439</v>
      </c>
      <c r="B21" s="143" t="s">
        <v>512</v>
      </c>
      <c r="C21" s="144"/>
      <c r="D21" s="145"/>
      <c r="E21" s="20">
        <v>270.83</v>
      </c>
      <c r="F21" s="23" t="s">
        <v>137</v>
      </c>
      <c r="G21" s="52">
        <v>6383</v>
      </c>
      <c r="H21" s="146"/>
      <c r="I21" s="147"/>
      <c r="J21" s="147"/>
      <c r="K21" s="148"/>
      <c r="L21" s="23" t="s">
        <v>71</v>
      </c>
    </row>
    <row r="22" spans="1:12" x14ac:dyDescent="0.25">
      <c r="A22" s="66" t="s">
        <v>440</v>
      </c>
      <c r="B22" s="143" t="s">
        <v>860</v>
      </c>
      <c r="C22" s="144"/>
      <c r="D22" s="145"/>
      <c r="E22" s="20">
        <v>174.5</v>
      </c>
      <c r="F22" s="23" t="s">
        <v>62</v>
      </c>
      <c r="G22" s="52">
        <v>660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82</v>
      </c>
      <c r="B23" s="143" t="s">
        <v>507</v>
      </c>
      <c r="C23" s="144"/>
      <c r="D23" s="145"/>
      <c r="E23" s="20">
        <v>1411.27</v>
      </c>
      <c r="F23" s="23" t="s">
        <v>44</v>
      </c>
      <c r="G23" s="52">
        <v>933427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285</v>
      </c>
      <c r="B24" s="143" t="s">
        <v>514</v>
      </c>
      <c r="C24" s="144"/>
      <c r="D24" s="145"/>
      <c r="E24" s="20">
        <v>341.98</v>
      </c>
      <c r="F24" s="23" t="s">
        <v>56</v>
      </c>
      <c r="G24" s="52">
        <v>1681100</v>
      </c>
      <c r="H24" s="146"/>
      <c r="I24" s="147"/>
      <c r="J24" s="147"/>
      <c r="K24" s="148"/>
      <c r="L24" s="23" t="s">
        <v>33</v>
      </c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441</v>
      </c>
      <c r="B39" s="128" t="s">
        <v>861</v>
      </c>
      <c r="C39" s="129"/>
      <c r="D39" s="162"/>
      <c r="E39" s="41">
        <v>332.63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442</v>
      </c>
      <c r="B40" s="143" t="s">
        <v>642</v>
      </c>
      <c r="C40" s="144"/>
      <c r="D40" s="158"/>
      <c r="E40" s="43">
        <v>260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965</v>
      </c>
      <c r="B41" s="143" t="s">
        <v>964</v>
      </c>
      <c r="C41" s="144"/>
      <c r="D41" s="158"/>
      <c r="E41" s="43">
        <v>42.32</v>
      </c>
      <c r="F41" s="159" t="s">
        <v>516</v>
      </c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1357</v>
      </c>
      <c r="C49" s="144"/>
      <c r="D49" s="158"/>
      <c r="E49" s="43">
        <v>357.6</v>
      </c>
      <c r="F49" s="86">
        <v>2.25</v>
      </c>
      <c r="G49" s="18">
        <v>355.35</v>
      </c>
      <c r="H49" s="164" t="s">
        <v>1171</v>
      </c>
      <c r="I49" s="164"/>
      <c r="J49" s="164"/>
      <c r="K49" s="165"/>
      <c r="L49" s="20"/>
    </row>
    <row r="50" spans="1:12" x14ac:dyDescent="0.25">
      <c r="A50" s="66"/>
      <c r="B50" s="143" t="s">
        <v>1358</v>
      </c>
      <c r="C50" s="144"/>
      <c r="D50" s="158"/>
      <c r="E50" s="43">
        <v>1992.57</v>
      </c>
      <c r="F50" s="86">
        <v>40.1</v>
      </c>
      <c r="G50" s="18">
        <v>1952.47</v>
      </c>
      <c r="H50" s="160" t="s">
        <v>1171</v>
      </c>
      <c r="I50" s="160"/>
      <c r="J50" s="160"/>
      <c r="K50" s="161"/>
      <c r="L50" s="20"/>
    </row>
    <row r="51" spans="1:12" x14ac:dyDescent="0.25">
      <c r="A51" s="66"/>
      <c r="B51" s="143" t="s">
        <v>1359</v>
      </c>
      <c r="C51" s="144"/>
      <c r="D51" s="158"/>
      <c r="E51" s="43">
        <v>331.15</v>
      </c>
      <c r="F51" s="86">
        <v>2.09</v>
      </c>
      <c r="G51" s="18">
        <v>329.06</v>
      </c>
      <c r="H51" s="160" t="s">
        <v>1171</v>
      </c>
      <c r="I51" s="160"/>
      <c r="J51" s="160"/>
      <c r="K51" s="161"/>
      <c r="L51" s="20"/>
    </row>
    <row r="52" spans="1:12" x14ac:dyDescent="0.25">
      <c r="A52" s="66"/>
      <c r="B52" s="143" t="s">
        <v>1360</v>
      </c>
      <c r="C52" s="144"/>
      <c r="D52" s="158"/>
      <c r="E52" s="43">
        <v>377.3</v>
      </c>
      <c r="F52" s="86">
        <v>7.8</v>
      </c>
      <c r="G52" s="18">
        <v>369.5</v>
      </c>
      <c r="H52" s="160" t="s">
        <v>1171</v>
      </c>
      <c r="I52" s="160"/>
      <c r="J52" s="160"/>
      <c r="K52" s="161"/>
      <c r="L52" s="20"/>
    </row>
    <row r="53" spans="1:12" x14ac:dyDescent="0.25">
      <c r="A53" s="66"/>
      <c r="B53" s="143" t="s">
        <v>1361</v>
      </c>
      <c r="C53" s="144"/>
      <c r="D53" s="158"/>
      <c r="E53" s="43">
        <v>335.61</v>
      </c>
      <c r="F53" s="86">
        <v>2.11</v>
      </c>
      <c r="G53" s="18">
        <v>333.5</v>
      </c>
      <c r="H53" s="160" t="s">
        <v>1171</v>
      </c>
      <c r="I53" s="160"/>
      <c r="J53" s="160"/>
      <c r="K53" s="161"/>
      <c r="L53" s="20"/>
    </row>
    <row r="54" spans="1:12" x14ac:dyDescent="0.25">
      <c r="A54" s="66"/>
      <c r="B54" s="143" t="s">
        <v>1362</v>
      </c>
      <c r="C54" s="144"/>
      <c r="D54" s="158"/>
      <c r="E54" s="43">
        <v>333.91</v>
      </c>
      <c r="F54" s="86">
        <v>2.1</v>
      </c>
      <c r="G54" s="18">
        <v>331.81</v>
      </c>
      <c r="H54" s="160" t="s">
        <v>1171</v>
      </c>
      <c r="I54" s="160"/>
      <c r="J54" s="160"/>
      <c r="K54" s="161"/>
      <c r="L54" s="20"/>
    </row>
    <row r="55" spans="1:12" x14ac:dyDescent="0.25">
      <c r="A55" s="66"/>
      <c r="B55" s="143" t="s">
        <v>1363</v>
      </c>
      <c r="C55" s="144"/>
      <c r="D55" s="158"/>
      <c r="E55" s="43">
        <v>847.72</v>
      </c>
      <c r="F55" s="86">
        <v>5.19</v>
      </c>
      <c r="G55" s="18">
        <v>842.53</v>
      </c>
      <c r="H55" s="160" t="s">
        <v>1171</v>
      </c>
      <c r="I55" s="160"/>
      <c r="J55" s="160"/>
      <c r="K55" s="161"/>
      <c r="L55" s="20"/>
    </row>
    <row r="56" spans="1:12" x14ac:dyDescent="0.25">
      <c r="A56" s="66"/>
      <c r="B56" s="143" t="s">
        <v>1364</v>
      </c>
      <c r="C56" s="144"/>
      <c r="D56" s="158"/>
      <c r="E56" s="43">
        <v>354.93</v>
      </c>
      <c r="F56" s="86">
        <v>2.23</v>
      </c>
      <c r="G56" s="18">
        <v>352.7</v>
      </c>
      <c r="H56" s="160" t="s">
        <v>1171</v>
      </c>
      <c r="I56" s="160"/>
      <c r="J56" s="160"/>
      <c r="K56" s="161"/>
      <c r="L56" s="20"/>
    </row>
    <row r="57" spans="1:12" x14ac:dyDescent="0.25">
      <c r="A57" s="66"/>
      <c r="B57" s="143" t="s">
        <v>1365</v>
      </c>
      <c r="C57" s="144"/>
      <c r="D57" s="158"/>
      <c r="E57" s="43">
        <v>590.41999999999996</v>
      </c>
      <c r="F57" s="86">
        <v>12.06</v>
      </c>
      <c r="G57" s="18">
        <v>578.36</v>
      </c>
      <c r="H57" s="160" t="s">
        <v>1171</v>
      </c>
      <c r="I57" s="160"/>
      <c r="J57" s="160"/>
      <c r="K57" s="161"/>
      <c r="L57" s="20"/>
    </row>
    <row r="58" spans="1:12" x14ac:dyDescent="0.25">
      <c r="A58" s="66"/>
      <c r="B58" s="143" t="s">
        <v>1366</v>
      </c>
      <c r="C58" s="144"/>
      <c r="D58" s="158"/>
      <c r="E58" s="43">
        <v>337.51</v>
      </c>
      <c r="F58" s="86">
        <v>2.13</v>
      </c>
      <c r="G58" s="18">
        <v>335.38</v>
      </c>
      <c r="H58" s="160" t="s">
        <v>1171</v>
      </c>
      <c r="I58" s="160"/>
      <c r="J58" s="160"/>
      <c r="K58" s="161"/>
      <c r="L58" s="20"/>
    </row>
    <row r="59" spans="1:12" x14ac:dyDescent="0.25">
      <c r="A59" s="66"/>
      <c r="B59" s="143" t="s">
        <v>1367</v>
      </c>
      <c r="C59" s="144"/>
      <c r="D59" s="158"/>
      <c r="E59" s="43">
        <v>995.04</v>
      </c>
      <c r="F59" s="86">
        <v>20.149999999999999</v>
      </c>
      <c r="G59" s="18">
        <v>974.89</v>
      </c>
      <c r="H59" s="160" t="s">
        <v>1171</v>
      </c>
      <c r="I59" s="160"/>
      <c r="J59" s="160"/>
      <c r="K59" s="161"/>
      <c r="L59" s="20"/>
    </row>
    <row r="60" spans="1:12" x14ac:dyDescent="0.25">
      <c r="A60" s="66"/>
      <c r="B60" s="143" t="s">
        <v>1368</v>
      </c>
      <c r="C60" s="144"/>
      <c r="D60" s="158"/>
      <c r="E60" s="43">
        <v>467.24</v>
      </c>
      <c r="F60" s="86">
        <v>2.9</v>
      </c>
      <c r="G60" s="18">
        <v>464.34</v>
      </c>
      <c r="H60" s="160" t="s">
        <v>1171</v>
      </c>
      <c r="I60" s="160"/>
      <c r="J60" s="160"/>
      <c r="K60" s="161"/>
      <c r="L60" s="20"/>
    </row>
    <row r="61" spans="1:12" x14ac:dyDescent="0.25">
      <c r="A61" s="66"/>
      <c r="B61" s="143" t="s">
        <v>1369</v>
      </c>
      <c r="C61" s="144"/>
      <c r="D61" s="158"/>
      <c r="E61" s="43">
        <v>369.35</v>
      </c>
      <c r="F61" s="86">
        <v>2.3199999999999998</v>
      </c>
      <c r="G61" s="18">
        <v>367.03</v>
      </c>
      <c r="H61" s="160" t="s">
        <v>1171</v>
      </c>
      <c r="I61" s="160"/>
      <c r="J61" s="160"/>
      <c r="K61" s="161"/>
      <c r="L61" s="20"/>
    </row>
    <row r="62" spans="1:12" x14ac:dyDescent="0.25">
      <c r="A62" s="66"/>
      <c r="B62" s="143" t="s">
        <v>1370</v>
      </c>
      <c r="C62" s="144"/>
      <c r="D62" s="158"/>
      <c r="E62" s="43">
        <v>324.56</v>
      </c>
      <c r="F62" s="86">
        <v>2.0499999999999998</v>
      </c>
      <c r="G62" s="18">
        <v>322.51</v>
      </c>
      <c r="H62" s="160" t="s">
        <v>1171</v>
      </c>
      <c r="I62" s="160"/>
      <c r="J62" s="160"/>
      <c r="K62" s="161"/>
      <c r="L62" s="20"/>
    </row>
    <row r="63" spans="1:12" x14ac:dyDescent="0.25">
      <c r="A63" s="66"/>
      <c r="B63" s="143" t="s">
        <v>1371</v>
      </c>
      <c r="C63" s="144"/>
      <c r="D63" s="158"/>
      <c r="E63" s="43">
        <v>414.54</v>
      </c>
      <c r="F63" s="86">
        <v>2.59</v>
      </c>
      <c r="G63" s="18">
        <v>411.95</v>
      </c>
      <c r="H63" s="160" t="s">
        <v>1171</v>
      </c>
      <c r="I63" s="160"/>
      <c r="J63" s="160"/>
      <c r="K63" s="161"/>
      <c r="L63" s="20"/>
    </row>
    <row r="64" spans="1:12" x14ac:dyDescent="0.25">
      <c r="A64" s="66"/>
      <c r="B64" s="143" t="s">
        <v>1372</v>
      </c>
      <c r="C64" s="144"/>
      <c r="D64" s="158"/>
      <c r="E64" s="43">
        <v>763.89</v>
      </c>
      <c r="F64" s="86">
        <v>4.68</v>
      </c>
      <c r="G64" s="18">
        <v>759.21</v>
      </c>
      <c r="H64" s="160" t="s">
        <v>1171</v>
      </c>
      <c r="I64" s="160"/>
      <c r="J64" s="160"/>
      <c r="K64" s="161"/>
      <c r="L64" s="20"/>
    </row>
    <row r="65" spans="1:12" x14ac:dyDescent="0.25">
      <c r="A65" s="66"/>
      <c r="B65" s="143" t="s">
        <v>1373</v>
      </c>
      <c r="C65" s="144"/>
      <c r="D65" s="158"/>
      <c r="E65" s="43">
        <v>319.87</v>
      </c>
      <c r="F65" s="86">
        <v>2.02</v>
      </c>
      <c r="G65" s="18">
        <v>317.85000000000002</v>
      </c>
      <c r="H65" s="160" t="s">
        <v>1171</v>
      </c>
      <c r="I65" s="160"/>
      <c r="J65" s="160"/>
      <c r="K65" s="161"/>
      <c r="L65" s="20"/>
    </row>
    <row r="66" spans="1:12" x14ac:dyDescent="0.25">
      <c r="A66" s="66"/>
      <c r="B66" s="143" t="s">
        <v>1374</v>
      </c>
      <c r="C66" s="144"/>
      <c r="D66" s="158"/>
      <c r="E66" s="43">
        <v>345.12</v>
      </c>
      <c r="F66" s="86">
        <v>2.17</v>
      </c>
      <c r="G66" s="18">
        <v>342.95</v>
      </c>
      <c r="H66" s="160" t="s">
        <v>1171</v>
      </c>
      <c r="I66" s="160"/>
      <c r="J66" s="160"/>
      <c r="K66" s="161"/>
      <c r="L66" s="20"/>
    </row>
    <row r="67" spans="1:12" x14ac:dyDescent="0.25">
      <c r="A67" s="66"/>
      <c r="B67" s="143" t="s">
        <v>1375</v>
      </c>
      <c r="C67" s="144"/>
      <c r="D67" s="158"/>
      <c r="E67" s="43">
        <v>339.31</v>
      </c>
      <c r="F67" s="86">
        <v>2.14</v>
      </c>
      <c r="G67" s="18">
        <v>337.17</v>
      </c>
      <c r="H67" s="160" t="s">
        <v>1171</v>
      </c>
      <c r="I67" s="160"/>
      <c r="J67" s="160"/>
      <c r="K67" s="161"/>
      <c r="L67" s="20"/>
    </row>
    <row r="68" spans="1:12" x14ac:dyDescent="0.25">
      <c r="A68" s="66"/>
      <c r="B68" s="143" t="s">
        <v>1376</v>
      </c>
      <c r="C68" s="144"/>
      <c r="D68" s="158"/>
      <c r="E68" s="43">
        <v>1448.75</v>
      </c>
      <c r="F68" s="86">
        <v>8.7899999999999991</v>
      </c>
      <c r="G68" s="18">
        <v>1439.96</v>
      </c>
      <c r="H68" s="160" t="s">
        <v>1171</v>
      </c>
      <c r="I68" s="160"/>
      <c r="J68" s="160"/>
      <c r="K68" s="161"/>
      <c r="L68" s="20"/>
    </row>
    <row r="69" spans="1:12" x14ac:dyDescent="0.25">
      <c r="A69" s="66"/>
      <c r="B69" s="143" t="s">
        <v>1377</v>
      </c>
      <c r="C69" s="144"/>
      <c r="D69" s="158"/>
      <c r="E69" s="43">
        <v>1383.32</v>
      </c>
      <c r="F69" s="86">
        <v>8.4</v>
      </c>
      <c r="G69" s="18">
        <v>1374.92</v>
      </c>
      <c r="H69" s="160" t="s">
        <v>1171</v>
      </c>
      <c r="I69" s="160"/>
      <c r="J69" s="160"/>
      <c r="K69" s="161"/>
      <c r="L69" s="20"/>
    </row>
    <row r="70" spans="1:12" x14ac:dyDescent="0.25">
      <c r="A70" s="66"/>
      <c r="B70" s="143" t="s">
        <v>1378</v>
      </c>
      <c r="C70" s="144"/>
      <c r="D70" s="158"/>
      <c r="E70" s="43">
        <v>499.62</v>
      </c>
      <c r="F70" s="86">
        <v>3.1</v>
      </c>
      <c r="G70" s="18">
        <v>496.52</v>
      </c>
      <c r="H70" s="160" t="s">
        <v>1171</v>
      </c>
      <c r="I70" s="160"/>
      <c r="J70" s="160"/>
      <c r="K70" s="161"/>
      <c r="L70" s="20"/>
    </row>
    <row r="71" spans="1:12" x14ac:dyDescent="0.25">
      <c r="A71" s="66"/>
      <c r="B71" s="143" t="s">
        <v>1379</v>
      </c>
      <c r="C71" s="144"/>
      <c r="D71" s="158"/>
      <c r="E71" s="43">
        <v>326.83999999999997</v>
      </c>
      <c r="F71" s="86">
        <v>6.79</v>
      </c>
      <c r="G71" s="18">
        <v>320.05</v>
      </c>
      <c r="H71" s="160" t="s">
        <v>1171</v>
      </c>
      <c r="I71" s="160"/>
      <c r="J71" s="160"/>
      <c r="K71" s="161"/>
      <c r="L71" s="20"/>
    </row>
    <row r="72" spans="1:12" x14ac:dyDescent="0.25">
      <c r="A72" s="66"/>
      <c r="B72" s="143" t="s">
        <v>1380</v>
      </c>
      <c r="C72" s="144"/>
      <c r="D72" s="158"/>
      <c r="E72" s="43">
        <v>826.6</v>
      </c>
      <c r="F72" s="86">
        <v>28.93</v>
      </c>
      <c r="G72" s="18">
        <v>797.67</v>
      </c>
      <c r="H72" s="160" t="s">
        <v>1171</v>
      </c>
      <c r="I72" s="160"/>
      <c r="J72" s="160"/>
      <c r="K72" s="161"/>
      <c r="L72" s="20"/>
    </row>
    <row r="73" spans="1:12" x14ac:dyDescent="0.25">
      <c r="A73" s="66"/>
      <c r="B73" s="143" t="s">
        <v>1381</v>
      </c>
      <c r="C73" s="144"/>
      <c r="D73" s="158"/>
      <c r="E73" s="43">
        <v>350.17</v>
      </c>
      <c r="F73" s="86">
        <v>2.2000000000000002</v>
      </c>
      <c r="G73" s="18">
        <v>347.97</v>
      </c>
      <c r="H73" s="160" t="s">
        <v>1171</v>
      </c>
      <c r="I73" s="160"/>
      <c r="J73" s="160"/>
      <c r="K73" s="161"/>
      <c r="L73" s="20"/>
    </row>
    <row r="74" spans="1:12" x14ac:dyDescent="0.25">
      <c r="A74" s="66"/>
      <c r="B74" s="143" t="s">
        <v>1382</v>
      </c>
      <c r="C74" s="144"/>
      <c r="D74" s="158"/>
      <c r="E74" s="43">
        <v>348.06</v>
      </c>
      <c r="F74" s="86">
        <v>7.21</v>
      </c>
      <c r="G74" s="18">
        <v>340.85</v>
      </c>
      <c r="H74" s="160" t="s">
        <v>1171</v>
      </c>
      <c r="I74" s="160"/>
      <c r="J74" s="160"/>
      <c r="K74" s="161"/>
      <c r="L74" s="20"/>
    </row>
    <row r="75" spans="1:12" x14ac:dyDescent="0.25">
      <c r="A75" s="66"/>
      <c r="B75" s="143" t="s">
        <v>1383</v>
      </c>
      <c r="C75" s="144"/>
      <c r="D75" s="158"/>
      <c r="E75" s="43">
        <v>371.53</v>
      </c>
      <c r="F75" s="86">
        <v>2.33</v>
      </c>
      <c r="G75" s="18">
        <v>369.2</v>
      </c>
      <c r="H75" s="160" t="s">
        <v>1171</v>
      </c>
      <c r="I75" s="160"/>
      <c r="J75" s="160"/>
      <c r="K75" s="161"/>
      <c r="L75" s="20"/>
    </row>
    <row r="76" spans="1:12" x14ac:dyDescent="0.25">
      <c r="A76" s="66"/>
      <c r="B76" s="143" t="s">
        <v>1384</v>
      </c>
      <c r="C76" s="144"/>
      <c r="D76" s="158"/>
      <c r="E76" s="43">
        <v>354.48</v>
      </c>
      <c r="F76" s="86">
        <v>2.23</v>
      </c>
      <c r="G76" s="18">
        <v>352.25</v>
      </c>
      <c r="H76" s="160" t="s">
        <v>1171</v>
      </c>
      <c r="I76" s="160"/>
      <c r="J76" s="160"/>
      <c r="K76" s="161"/>
      <c r="L76" s="20"/>
    </row>
    <row r="77" spans="1:12" x14ac:dyDescent="0.25">
      <c r="A77" s="66"/>
      <c r="B77" s="143" t="s">
        <v>1385</v>
      </c>
      <c r="C77" s="144"/>
      <c r="D77" s="158"/>
      <c r="E77" s="43">
        <v>753</v>
      </c>
      <c r="F77" s="86">
        <v>4.62</v>
      </c>
      <c r="G77" s="18">
        <v>748.38</v>
      </c>
      <c r="H77" s="160" t="s">
        <v>1171</v>
      </c>
      <c r="I77" s="160"/>
      <c r="J77" s="160"/>
      <c r="K77" s="161"/>
      <c r="L77" s="20"/>
    </row>
    <row r="78" spans="1:12" x14ac:dyDescent="0.25">
      <c r="A78" s="66"/>
      <c r="B78" s="143" t="s">
        <v>1386</v>
      </c>
      <c r="C78" s="144"/>
      <c r="D78" s="158"/>
      <c r="E78" s="43">
        <v>381.89</v>
      </c>
      <c r="F78" s="86">
        <v>2.39</v>
      </c>
      <c r="G78" s="18">
        <v>379.5</v>
      </c>
      <c r="H78" s="160" t="s">
        <v>1171</v>
      </c>
      <c r="I78" s="160"/>
      <c r="J78" s="160"/>
      <c r="K78" s="161"/>
      <c r="L78" s="20"/>
    </row>
    <row r="79" spans="1:12" x14ac:dyDescent="0.25">
      <c r="A79" s="66"/>
      <c r="B79" s="143" t="s">
        <v>1387</v>
      </c>
      <c r="C79" s="144"/>
      <c r="D79" s="158"/>
      <c r="E79" s="43">
        <v>1500.59</v>
      </c>
      <c r="F79" s="86">
        <v>9.1</v>
      </c>
      <c r="G79" s="18">
        <v>1491.49</v>
      </c>
      <c r="H79" s="160" t="s">
        <v>1171</v>
      </c>
      <c r="I79" s="160"/>
      <c r="J79" s="160"/>
      <c r="K79" s="161"/>
      <c r="L79" s="20"/>
    </row>
    <row r="80" spans="1:12" x14ac:dyDescent="0.25">
      <c r="A80" s="66"/>
      <c r="B80" s="143" t="s">
        <v>1388</v>
      </c>
      <c r="C80" s="144"/>
      <c r="D80" s="158"/>
      <c r="E80" s="43">
        <v>596.26</v>
      </c>
      <c r="F80" s="86">
        <v>3.68</v>
      </c>
      <c r="G80" s="18">
        <v>592.58000000000004</v>
      </c>
      <c r="H80" s="160" t="s">
        <v>1171</v>
      </c>
      <c r="I80" s="160"/>
      <c r="J80" s="160"/>
      <c r="K80" s="161"/>
      <c r="L80" s="20"/>
    </row>
    <row r="81" spans="1:12" x14ac:dyDescent="0.25">
      <c r="A81" s="66"/>
      <c r="B81" s="143" t="s">
        <v>1389</v>
      </c>
      <c r="C81" s="144"/>
      <c r="D81" s="158"/>
      <c r="E81" s="43">
        <v>316.60000000000002</v>
      </c>
      <c r="F81" s="86">
        <v>2</v>
      </c>
      <c r="G81" s="18">
        <v>314.60000000000002</v>
      </c>
      <c r="H81" s="160" t="s">
        <v>1171</v>
      </c>
      <c r="I81" s="160"/>
      <c r="J81" s="160"/>
      <c r="K81" s="161"/>
      <c r="L81" s="20"/>
    </row>
    <row r="82" spans="1:12" x14ac:dyDescent="0.25">
      <c r="A82" s="66"/>
      <c r="B82" s="143" t="s">
        <v>1390</v>
      </c>
      <c r="C82" s="144"/>
      <c r="D82" s="158"/>
      <c r="E82" s="43">
        <v>370.98</v>
      </c>
      <c r="F82" s="86">
        <v>2.33</v>
      </c>
      <c r="G82" s="18">
        <v>368.65</v>
      </c>
      <c r="H82" s="160" t="s">
        <v>1171</v>
      </c>
      <c r="I82" s="160"/>
      <c r="J82" s="160"/>
      <c r="K82" s="161"/>
      <c r="L82" s="20"/>
    </row>
    <row r="83" spans="1:12" x14ac:dyDescent="0.25">
      <c r="A83" s="66"/>
      <c r="B83" s="143" t="s">
        <v>1391</v>
      </c>
      <c r="C83" s="144"/>
      <c r="D83" s="158"/>
      <c r="E83" s="43">
        <v>332.07</v>
      </c>
      <c r="F83" s="86">
        <v>2.09</v>
      </c>
      <c r="G83" s="18">
        <v>329.98</v>
      </c>
      <c r="H83" s="160" t="s">
        <v>1171</v>
      </c>
      <c r="I83" s="160"/>
      <c r="J83" s="160"/>
      <c r="K83" s="161"/>
      <c r="L83" s="20"/>
    </row>
    <row r="84" spans="1:12" x14ac:dyDescent="0.25">
      <c r="A84" s="66"/>
      <c r="B84" s="143" t="s">
        <v>1392</v>
      </c>
      <c r="C84" s="144"/>
      <c r="D84" s="158"/>
      <c r="E84" s="43">
        <v>1413.2</v>
      </c>
      <c r="F84" s="86">
        <v>8.58</v>
      </c>
      <c r="G84" s="18">
        <v>1404.62</v>
      </c>
      <c r="H84" s="160" t="s">
        <v>1171</v>
      </c>
      <c r="I84" s="160"/>
      <c r="J84" s="160"/>
      <c r="K84" s="161"/>
      <c r="L84" s="20"/>
    </row>
    <row r="85" spans="1:12" x14ac:dyDescent="0.25">
      <c r="A85" s="66"/>
      <c r="B85" s="143" t="s">
        <v>1393</v>
      </c>
      <c r="C85" s="144"/>
      <c r="D85" s="158"/>
      <c r="E85" s="43">
        <v>496.22</v>
      </c>
      <c r="F85" s="86">
        <v>3.08</v>
      </c>
      <c r="G85" s="18">
        <v>493.14</v>
      </c>
      <c r="H85" s="160" t="s">
        <v>1171</v>
      </c>
      <c r="I85" s="160"/>
      <c r="J85" s="160"/>
      <c r="K85" s="161"/>
      <c r="L85" s="20"/>
    </row>
    <row r="86" spans="1:12" x14ac:dyDescent="0.25">
      <c r="A86" s="66"/>
      <c r="B86" s="143" t="s">
        <v>1394</v>
      </c>
      <c r="C86" s="144"/>
      <c r="D86" s="158"/>
      <c r="E86" s="43">
        <v>1374.38</v>
      </c>
      <c r="F86" s="86">
        <v>8.35</v>
      </c>
      <c r="G86" s="18">
        <v>1366.03</v>
      </c>
      <c r="H86" s="160" t="s">
        <v>1171</v>
      </c>
      <c r="I86" s="160"/>
      <c r="J86" s="160"/>
      <c r="K86" s="161"/>
      <c r="L86" s="20"/>
    </row>
    <row r="87" spans="1:12" x14ac:dyDescent="0.25">
      <c r="A87" s="66"/>
      <c r="B87" s="143" t="s">
        <v>1395</v>
      </c>
      <c r="C87" s="144"/>
      <c r="D87" s="158"/>
      <c r="E87" s="43">
        <v>983.92</v>
      </c>
      <c r="F87" s="86">
        <v>6</v>
      </c>
      <c r="G87" s="18">
        <v>977.92</v>
      </c>
      <c r="H87" s="160" t="s">
        <v>1171</v>
      </c>
      <c r="I87" s="160"/>
      <c r="J87" s="160"/>
      <c r="K87" s="161"/>
      <c r="L87" s="20"/>
    </row>
    <row r="88" spans="1:12" x14ac:dyDescent="0.25">
      <c r="A88" s="66"/>
      <c r="B88" s="143" t="s">
        <v>1396</v>
      </c>
      <c r="C88" s="144"/>
      <c r="D88" s="158"/>
      <c r="E88" s="43">
        <v>906.99</v>
      </c>
      <c r="F88" s="86">
        <v>18.39</v>
      </c>
      <c r="G88" s="18">
        <v>888.6</v>
      </c>
      <c r="H88" s="160" t="s">
        <v>1171</v>
      </c>
      <c r="I88" s="160"/>
      <c r="J88" s="160"/>
      <c r="K88" s="161"/>
      <c r="L88" s="20"/>
    </row>
    <row r="89" spans="1:12" x14ac:dyDescent="0.25">
      <c r="A89" s="66"/>
      <c r="B89" s="143" t="s">
        <v>1397</v>
      </c>
      <c r="C89" s="144"/>
      <c r="D89" s="158"/>
      <c r="E89" s="43">
        <v>2085.7800000000002</v>
      </c>
      <c r="F89" s="86">
        <v>12.61</v>
      </c>
      <c r="G89" s="18">
        <v>2073.17</v>
      </c>
      <c r="H89" s="160" t="s">
        <v>1171</v>
      </c>
      <c r="I89" s="160"/>
      <c r="J89" s="160"/>
      <c r="K89" s="161"/>
      <c r="L89" s="20"/>
    </row>
    <row r="90" spans="1:12" x14ac:dyDescent="0.25">
      <c r="A90" s="66"/>
      <c r="B90" s="143" t="s">
        <v>1398</v>
      </c>
      <c r="C90" s="144"/>
      <c r="D90" s="158"/>
      <c r="E90" s="43">
        <v>1395.42</v>
      </c>
      <c r="F90" s="86">
        <v>8.4700000000000006</v>
      </c>
      <c r="G90" s="18">
        <v>1386.95</v>
      </c>
      <c r="H90" s="160" t="s">
        <v>1171</v>
      </c>
      <c r="I90" s="160"/>
      <c r="J90" s="160"/>
      <c r="K90" s="161"/>
      <c r="L90" s="20"/>
    </row>
    <row r="91" spans="1:12" x14ac:dyDescent="0.25">
      <c r="A91" s="66"/>
      <c r="B91" s="143" t="s">
        <v>1399</v>
      </c>
      <c r="C91" s="144"/>
      <c r="D91" s="158"/>
      <c r="E91" s="43">
        <v>429.57</v>
      </c>
      <c r="F91" s="86">
        <v>8.84</v>
      </c>
      <c r="G91" s="18">
        <v>420.73</v>
      </c>
      <c r="H91" s="160" t="s">
        <v>1171</v>
      </c>
      <c r="I91" s="160"/>
      <c r="J91" s="160"/>
      <c r="K91" s="161"/>
      <c r="L91" s="20"/>
    </row>
    <row r="92" spans="1:12" x14ac:dyDescent="0.25">
      <c r="A92" s="66"/>
      <c r="B92" s="143" t="s">
        <v>1400</v>
      </c>
      <c r="C92" s="144"/>
      <c r="D92" s="158"/>
      <c r="E92" s="43">
        <v>656.39</v>
      </c>
      <c r="F92" s="86">
        <v>4.04</v>
      </c>
      <c r="G92" s="18">
        <v>652.35</v>
      </c>
      <c r="H92" s="160" t="s">
        <v>1171</v>
      </c>
      <c r="I92" s="160"/>
      <c r="J92" s="160"/>
      <c r="K92" s="161"/>
      <c r="L92" s="20"/>
    </row>
    <row r="93" spans="1:12" x14ac:dyDescent="0.25">
      <c r="A93" s="66"/>
      <c r="B93" s="143" t="s">
        <v>1401</v>
      </c>
      <c r="C93" s="144"/>
      <c r="D93" s="158"/>
      <c r="E93" s="43">
        <v>358.4</v>
      </c>
      <c r="F93" s="86">
        <v>7.42</v>
      </c>
      <c r="G93" s="18">
        <v>350.98</v>
      </c>
      <c r="H93" s="160" t="s">
        <v>1171</v>
      </c>
      <c r="I93" s="160"/>
      <c r="J93" s="160"/>
      <c r="K93" s="161"/>
      <c r="L93" s="20"/>
    </row>
    <row r="94" spans="1:12" x14ac:dyDescent="0.25">
      <c r="A94" s="66"/>
      <c r="B94" s="143" t="s">
        <v>1402</v>
      </c>
      <c r="C94" s="144"/>
      <c r="D94" s="158"/>
      <c r="E94" s="43">
        <v>738.4</v>
      </c>
      <c r="F94" s="86">
        <v>4.53</v>
      </c>
      <c r="G94" s="18">
        <v>733.87</v>
      </c>
      <c r="H94" s="160" t="s">
        <v>1171</v>
      </c>
      <c r="I94" s="160"/>
      <c r="J94" s="160"/>
      <c r="K94" s="161"/>
      <c r="L94" s="20"/>
    </row>
    <row r="95" spans="1:12" x14ac:dyDescent="0.25">
      <c r="A95" s="66"/>
      <c r="B95" s="143" t="s">
        <v>1403</v>
      </c>
      <c r="C95" s="144"/>
      <c r="D95" s="158"/>
      <c r="E95" s="43">
        <v>386.4</v>
      </c>
      <c r="F95" s="86">
        <v>2.42</v>
      </c>
      <c r="G95" s="18">
        <v>383.98</v>
      </c>
      <c r="H95" s="160" t="s">
        <v>1171</v>
      </c>
      <c r="I95" s="160"/>
      <c r="J95" s="160"/>
      <c r="K95" s="161"/>
      <c r="L95" s="20"/>
    </row>
    <row r="96" spans="1:12" x14ac:dyDescent="0.25">
      <c r="A96" s="66"/>
      <c r="B96" s="143" t="s">
        <v>1404</v>
      </c>
      <c r="C96" s="144"/>
      <c r="D96" s="158"/>
      <c r="E96" s="43">
        <v>3531.95</v>
      </c>
      <c r="F96" s="86">
        <v>123.62</v>
      </c>
      <c r="G96" s="18">
        <v>3408.33</v>
      </c>
      <c r="H96" s="160" t="s">
        <v>1171</v>
      </c>
      <c r="I96" s="160"/>
      <c r="J96" s="160"/>
      <c r="K96" s="161"/>
      <c r="L96" s="20"/>
    </row>
    <row r="97" spans="1:12" x14ac:dyDescent="0.25">
      <c r="A97" s="66"/>
      <c r="B97" s="143" t="s">
        <v>1405</v>
      </c>
      <c r="C97" s="144"/>
      <c r="D97" s="158"/>
      <c r="E97" s="43">
        <v>358.06</v>
      </c>
      <c r="F97" s="86">
        <v>7.41</v>
      </c>
      <c r="G97" s="18">
        <v>350.65</v>
      </c>
      <c r="H97" s="160" t="s">
        <v>1171</v>
      </c>
      <c r="I97" s="160"/>
      <c r="J97" s="160"/>
      <c r="K97" s="161"/>
      <c r="L97" s="20"/>
    </row>
    <row r="98" spans="1:12" x14ac:dyDescent="0.25">
      <c r="A98" s="66"/>
      <c r="B98" s="143" t="s">
        <v>1406</v>
      </c>
      <c r="C98" s="144"/>
      <c r="D98" s="158"/>
      <c r="E98" s="43">
        <v>1525.6</v>
      </c>
      <c r="F98" s="86">
        <v>9.25</v>
      </c>
      <c r="G98" s="18">
        <v>1516.35</v>
      </c>
      <c r="H98" s="160" t="s">
        <v>1171</v>
      </c>
      <c r="I98" s="160"/>
      <c r="J98" s="160"/>
      <c r="K98" s="161"/>
      <c r="L98" s="20"/>
    </row>
    <row r="99" spans="1:12" x14ac:dyDescent="0.25">
      <c r="A99" s="66"/>
      <c r="B99" s="143" t="s">
        <v>1407</v>
      </c>
      <c r="C99" s="144"/>
      <c r="D99" s="158"/>
      <c r="E99" s="43">
        <v>324.63</v>
      </c>
      <c r="F99" s="86">
        <v>2.0499999999999998</v>
      </c>
      <c r="G99" s="18">
        <v>322.58</v>
      </c>
      <c r="H99" s="160" t="s">
        <v>1171</v>
      </c>
      <c r="I99" s="160"/>
      <c r="J99" s="160"/>
      <c r="K99" s="161"/>
      <c r="L99" s="20"/>
    </row>
    <row r="100" spans="1:12" x14ac:dyDescent="0.25">
      <c r="A100" s="66"/>
      <c r="B100" s="143" t="s">
        <v>1408</v>
      </c>
      <c r="C100" s="144"/>
      <c r="D100" s="158"/>
      <c r="E100" s="43">
        <v>414.54</v>
      </c>
      <c r="F100" s="86">
        <v>2.59</v>
      </c>
      <c r="G100" s="18">
        <v>411.95</v>
      </c>
      <c r="H100" s="160" t="s">
        <v>1171</v>
      </c>
      <c r="I100" s="160"/>
      <c r="J100" s="160"/>
      <c r="K100" s="161"/>
      <c r="L100" s="20"/>
    </row>
    <row r="101" spans="1:12" x14ac:dyDescent="0.25">
      <c r="A101" s="66"/>
      <c r="B101" s="143" t="s">
        <v>1409</v>
      </c>
      <c r="C101" s="144"/>
      <c r="D101" s="158"/>
      <c r="E101" s="43">
        <v>327.14</v>
      </c>
      <c r="F101" s="86">
        <v>2.06</v>
      </c>
      <c r="G101" s="18">
        <v>325.08</v>
      </c>
      <c r="H101" s="160" t="s">
        <v>1171</v>
      </c>
      <c r="I101" s="160"/>
      <c r="J101" s="160"/>
      <c r="K101" s="161"/>
      <c r="L101" s="20"/>
    </row>
    <row r="102" spans="1:12" x14ac:dyDescent="0.25">
      <c r="A102" s="66"/>
      <c r="B102" s="143" t="s">
        <v>1410</v>
      </c>
      <c r="C102" s="144"/>
      <c r="D102" s="158"/>
      <c r="E102" s="43">
        <v>774.18</v>
      </c>
      <c r="F102" s="86">
        <v>4.75</v>
      </c>
      <c r="G102" s="18">
        <v>769.43</v>
      </c>
      <c r="H102" s="160" t="s">
        <v>1171</v>
      </c>
      <c r="I102" s="160"/>
      <c r="J102" s="160"/>
      <c r="K102" s="161"/>
      <c r="L102" s="20"/>
    </row>
    <row r="103" spans="1:12" x14ac:dyDescent="0.25">
      <c r="A103" s="66"/>
      <c r="B103" s="143" t="s">
        <v>1411</v>
      </c>
      <c r="C103" s="144"/>
      <c r="D103" s="158"/>
      <c r="E103" s="43">
        <v>868.35</v>
      </c>
      <c r="F103" s="86">
        <v>5.31</v>
      </c>
      <c r="G103" s="18">
        <v>863.04</v>
      </c>
      <c r="H103" s="160" t="s">
        <v>1171</v>
      </c>
      <c r="I103" s="160"/>
      <c r="J103" s="160"/>
      <c r="K103" s="161"/>
      <c r="L103" s="20"/>
    </row>
    <row r="104" spans="1:12" x14ac:dyDescent="0.25">
      <c r="A104" s="66"/>
      <c r="B104" s="143" t="s">
        <v>1412</v>
      </c>
      <c r="C104" s="144"/>
      <c r="D104" s="158"/>
      <c r="E104" s="43">
        <v>582.77</v>
      </c>
      <c r="F104" s="86">
        <v>3.6</v>
      </c>
      <c r="G104" s="18">
        <v>579.16999999999996</v>
      </c>
      <c r="H104" s="160" t="s">
        <v>1171</v>
      </c>
      <c r="I104" s="160"/>
      <c r="J104" s="160"/>
      <c r="K104" s="161"/>
      <c r="L104" s="20"/>
    </row>
    <row r="105" spans="1:12" ht="16.5" thickBot="1" x14ac:dyDescent="0.3">
      <c r="A105" s="66"/>
      <c r="B105" s="143" t="s">
        <v>1413</v>
      </c>
      <c r="C105" s="144"/>
      <c r="D105" s="158"/>
      <c r="E105" s="43">
        <v>2081.98</v>
      </c>
      <c r="F105" s="86">
        <v>12.59</v>
      </c>
      <c r="G105" s="18">
        <v>2069.39</v>
      </c>
      <c r="H105" s="160" t="s">
        <v>1171</v>
      </c>
      <c r="I105" s="160"/>
      <c r="J105" s="160"/>
      <c r="K105" s="161"/>
      <c r="L105" s="20"/>
    </row>
    <row r="106" spans="1:12" ht="16.5" thickBot="1" x14ac:dyDescent="0.3">
      <c r="A106" s="71" t="s">
        <v>458</v>
      </c>
      <c r="B106" s="166" t="s">
        <v>462</v>
      </c>
      <c r="C106" s="167"/>
      <c r="D106" s="168"/>
      <c r="E106" s="36" t="s">
        <v>8</v>
      </c>
      <c r="F106" s="119" t="s">
        <v>15</v>
      </c>
      <c r="G106" s="120"/>
      <c r="H106" s="120"/>
      <c r="I106" s="120"/>
      <c r="J106" s="120"/>
      <c r="K106" s="121"/>
      <c r="L106" s="39" t="s">
        <v>16</v>
      </c>
    </row>
    <row r="107" spans="1:12" x14ac:dyDescent="0.25">
      <c r="A107" s="66" t="s">
        <v>423</v>
      </c>
      <c r="B107" s="143" t="s">
        <v>111</v>
      </c>
      <c r="C107" s="144">
        <v>802.36</v>
      </c>
      <c r="D107" s="158" t="s">
        <v>18</v>
      </c>
      <c r="E107" s="43">
        <v>5051.34</v>
      </c>
      <c r="F107" s="163"/>
      <c r="G107" s="164"/>
      <c r="H107" s="164"/>
      <c r="I107" s="164"/>
      <c r="J107" s="164"/>
      <c r="K107" s="165"/>
      <c r="L107" s="20" t="s">
        <v>71</v>
      </c>
    </row>
    <row r="108" spans="1:12" x14ac:dyDescent="0.25">
      <c r="A108" s="66" t="s">
        <v>424</v>
      </c>
      <c r="B108" s="74"/>
      <c r="C108" s="75" t="s">
        <v>862</v>
      </c>
      <c r="D108" s="76"/>
      <c r="E108" s="43">
        <v>2584.4299999999998</v>
      </c>
      <c r="F108" s="81"/>
      <c r="G108" s="82"/>
      <c r="H108" s="82"/>
      <c r="I108" s="82"/>
      <c r="J108" s="82"/>
      <c r="K108" s="83"/>
      <c r="L108" s="20" t="s">
        <v>71</v>
      </c>
    </row>
    <row r="109" spans="1:12" x14ac:dyDescent="0.25">
      <c r="A109" s="66" t="s">
        <v>425</v>
      </c>
      <c r="B109" s="74"/>
      <c r="C109" s="75" t="s">
        <v>669</v>
      </c>
      <c r="D109" s="76"/>
      <c r="E109" s="43">
        <v>443.1</v>
      </c>
      <c r="F109" s="81"/>
      <c r="G109" s="82"/>
      <c r="H109" s="82"/>
      <c r="I109" s="82"/>
      <c r="J109" s="82"/>
      <c r="K109" s="83"/>
      <c r="L109" s="20" t="s">
        <v>71</v>
      </c>
    </row>
    <row r="110" spans="1:12" x14ac:dyDescent="0.25">
      <c r="A110" s="66" t="s">
        <v>426</v>
      </c>
      <c r="B110" s="74"/>
      <c r="C110" s="75" t="s">
        <v>863</v>
      </c>
      <c r="D110" s="76"/>
      <c r="E110" s="43">
        <v>1262.31</v>
      </c>
      <c r="F110" s="81"/>
      <c r="G110" s="82"/>
      <c r="H110" s="82"/>
      <c r="I110" s="82"/>
      <c r="J110" s="82"/>
      <c r="K110" s="83"/>
      <c r="L110" s="20" t="s">
        <v>33</v>
      </c>
    </row>
    <row r="111" spans="1:12" x14ac:dyDescent="0.25">
      <c r="A111" s="66" t="s">
        <v>428</v>
      </c>
      <c r="B111" s="74"/>
      <c r="C111" s="75" t="s">
        <v>427</v>
      </c>
      <c r="D111" s="76"/>
      <c r="E111" s="43">
        <v>3222.61</v>
      </c>
      <c r="F111" s="81"/>
      <c r="G111" s="82"/>
      <c r="H111" s="82"/>
      <c r="I111" s="82"/>
      <c r="J111" s="82"/>
      <c r="K111" s="83"/>
      <c r="L111" s="20" t="s">
        <v>71</v>
      </c>
    </row>
    <row r="112" spans="1:12" x14ac:dyDescent="0.25">
      <c r="A112" s="66" t="s">
        <v>429</v>
      </c>
      <c r="B112" s="74"/>
      <c r="C112" s="75" t="s">
        <v>864</v>
      </c>
      <c r="D112" s="76"/>
      <c r="E112" s="43">
        <v>1688.76</v>
      </c>
      <c r="F112" s="81"/>
      <c r="G112" s="82"/>
      <c r="H112" s="82"/>
      <c r="I112" s="82"/>
      <c r="J112" s="82"/>
      <c r="K112" s="83"/>
      <c r="L112" s="20" t="s">
        <v>71</v>
      </c>
    </row>
    <row r="113" spans="1:12" x14ac:dyDescent="0.25">
      <c r="A113" s="66" t="s">
        <v>129</v>
      </c>
      <c r="B113" s="74"/>
      <c r="C113" s="75" t="s">
        <v>552</v>
      </c>
      <c r="D113" s="76"/>
      <c r="E113" s="43">
        <v>210.47</v>
      </c>
      <c r="F113" s="81"/>
      <c r="G113" s="82"/>
      <c r="H113" s="82"/>
      <c r="I113" s="82"/>
      <c r="J113" s="82"/>
      <c r="K113" s="83"/>
      <c r="L113" s="20" t="s">
        <v>71</v>
      </c>
    </row>
    <row r="114" spans="1:12" x14ac:dyDescent="0.25">
      <c r="A114" s="66" t="s">
        <v>132</v>
      </c>
      <c r="B114" s="74"/>
      <c r="C114" s="75" t="s">
        <v>534</v>
      </c>
      <c r="D114" s="76"/>
      <c r="E114" s="43">
        <v>380.15</v>
      </c>
      <c r="F114" s="81"/>
      <c r="G114" s="82"/>
      <c r="H114" s="82"/>
      <c r="I114" s="82"/>
      <c r="J114" s="82"/>
      <c r="K114" s="83"/>
      <c r="L114" s="20" t="s">
        <v>71</v>
      </c>
    </row>
    <row r="115" spans="1:12" x14ac:dyDescent="0.25">
      <c r="A115" s="66" t="s">
        <v>430</v>
      </c>
      <c r="B115" s="74"/>
      <c r="C115" s="75" t="s">
        <v>865</v>
      </c>
      <c r="D115" s="76"/>
      <c r="E115" s="43">
        <v>3175.61</v>
      </c>
      <c r="F115" s="81"/>
      <c r="G115" s="82"/>
      <c r="H115" s="82"/>
      <c r="I115" s="82"/>
      <c r="J115" s="82"/>
      <c r="K115" s="83"/>
      <c r="L115" s="20" t="s">
        <v>71</v>
      </c>
    </row>
    <row r="116" spans="1:12" x14ac:dyDescent="0.25">
      <c r="A116" s="66" t="s">
        <v>117</v>
      </c>
      <c r="B116" s="74"/>
      <c r="C116" s="75" t="s">
        <v>866</v>
      </c>
      <c r="D116" s="76"/>
      <c r="E116" s="43">
        <v>763.89</v>
      </c>
      <c r="F116" s="81"/>
      <c r="G116" s="82"/>
      <c r="H116" s="82"/>
      <c r="I116" s="82"/>
      <c r="J116" s="82"/>
      <c r="K116" s="83"/>
      <c r="L116" s="20" t="s">
        <v>71</v>
      </c>
    </row>
    <row r="117" spans="1:12" x14ac:dyDescent="0.25">
      <c r="A117" s="66" t="s">
        <v>431</v>
      </c>
      <c r="B117" s="74"/>
      <c r="C117" s="75" t="s">
        <v>867</v>
      </c>
      <c r="D117" s="76"/>
      <c r="E117" s="43">
        <v>322.77</v>
      </c>
      <c r="F117" s="81"/>
      <c r="G117" s="82"/>
      <c r="H117" s="82"/>
      <c r="I117" s="82"/>
      <c r="J117" s="82"/>
      <c r="K117" s="83"/>
      <c r="L117" s="20" t="s">
        <v>71</v>
      </c>
    </row>
    <row r="118" spans="1:12" x14ac:dyDescent="0.25">
      <c r="A118" s="66" t="s">
        <v>251</v>
      </c>
      <c r="B118" s="74"/>
      <c r="C118" s="75" t="s">
        <v>648</v>
      </c>
      <c r="D118" s="76"/>
      <c r="E118" s="43">
        <v>2404.9499999999998</v>
      </c>
      <c r="F118" s="81"/>
      <c r="G118" s="82"/>
      <c r="H118" s="82"/>
      <c r="I118" s="82"/>
      <c r="J118" s="82"/>
      <c r="K118" s="83"/>
      <c r="L118" s="20" t="s">
        <v>71</v>
      </c>
    </row>
    <row r="119" spans="1:12" x14ac:dyDescent="0.25">
      <c r="A119" s="66" t="s">
        <v>433</v>
      </c>
      <c r="B119" s="74"/>
      <c r="C119" s="75" t="s">
        <v>432</v>
      </c>
      <c r="D119" s="76"/>
      <c r="E119" s="43">
        <v>2980.26</v>
      </c>
      <c r="F119" s="81"/>
      <c r="G119" s="82"/>
      <c r="H119" s="82"/>
      <c r="I119" s="82"/>
      <c r="J119" s="82"/>
      <c r="K119" s="83"/>
      <c r="L119" s="20" t="s">
        <v>71</v>
      </c>
    </row>
    <row r="120" spans="1:12" x14ac:dyDescent="0.25">
      <c r="A120" s="66" t="s">
        <v>384</v>
      </c>
      <c r="B120" s="74"/>
      <c r="C120" s="75" t="s">
        <v>385</v>
      </c>
      <c r="D120" s="76"/>
      <c r="E120" s="43">
        <v>333.08</v>
      </c>
      <c r="F120" s="81"/>
      <c r="G120" s="82"/>
      <c r="H120" s="82"/>
      <c r="I120" s="82"/>
      <c r="J120" s="82"/>
      <c r="K120" s="83"/>
      <c r="L120" s="20" t="s">
        <v>71</v>
      </c>
    </row>
    <row r="121" spans="1:12" x14ac:dyDescent="0.25">
      <c r="A121" s="66" t="s">
        <v>251</v>
      </c>
      <c r="B121" s="74"/>
      <c r="C121" s="75" t="s">
        <v>648</v>
      </c>
      <c r="D121" s="76"/>
      <c r="E121" s="43">
        <v>1558.21</v>
      </c>
      <c r="F121" s="81"/>
      <c r="G121" s="82"/>
      <c r="H121" s="82"/>
      <c r="I121" s="82"/>
      <c r="J121" s="82"/>
      <c r="K121" s="83"/>
      <c r="L121" s="20" t="s">
        <v>71</v>
      </c>
    </row>
    <row r="122" spans="1:12" x14ac:dyDescent="0.25">
      <c r="A122" s="66" t="s">
        <v>434</v>
      </c>
      <c r="B122" s="74"/>
      <c r="C122" s="75" t="s">
        <v>963</v>
      </c>
      <c r="D122" s="76"/>
      <c r="E122" s="43">
        <v>1473.96</v>
      </c>
      <c r="F122" s="81"/>
      <c r="G122" s="82"/>
      <c r="H122" s="82"/>
      <c r="I122" s="82"/>
      <c r="J122" s="82"/>
      <c r="K122" s="83"/>
      <c r="L122" s="20" t="s">
        <v>71</v>
      </c>
    </row>
    <row r="123" spans="1:12" x14ac:dyDescent="0.25">
      <c r="A123" s="66" t="s">
        <v>389</v>
      </c>
      <c r="B123" s="74"/>
      <c r="C123" s="75" t="s">
        <v>435</v>
      </c>
      <c r="D123" s="76"/>
      <c r="E123" s="43">
        <v>1289.72</v>
      </c>
      <c r="F123" s="81"/>
      <c r="G123" s="82"/>
      <c r="H123" s="82"/>
      <c r="I123" s="82"/>
      <c r="J123" s="82"/>
      <c r="K123" s="83"/>
      <c r="L123" s="20" t="s">
        <v>71</v>
      </c>
    </row>
    <row r="124" spans="1:12" x14ac:dyDescent="0.25">
      <c r="A124" s="66" t="s">
        <v>436</v>
      </c>
      <c r="B124" s="74"/>
      <c r="C124" s="75" t="s">
        <v>868</v>
      </c>
      <c r="D124" s="76"/>
      <c r="E124" s="43">
        <v>689.49</v>
      </c>
      <c r="F124" s="81"/>
      <c r="G124" s="82"/>
      <c r="H124" s="82"/>
      <c r="I124" s="82"/>
      <c r="J124" s="82"/>
      <c r="K124" s="83"/>
      <c r="L124" s="20" t="s">
        <v>71</v>
      </c>
    </row>
    <row r="125" spans="1:12" x14ac:dyDescent="0.25">
      <c r="A125" s="66"/>
      <c r="B125" s="143"/>
      <c r="C125" s="144">
        <v>675.28</v>
      </c>
      <c r="D125" s="158" t="s">
        <v>19</v>
      </c>
      <c r="E125" s="43"/>
      <c r="F125" s="159"/>
      <c r="G125" s="160"/>
      <c r="H125" s="160"/>
      <c r="I125" s="160"/>
      <c r="J125" s="160"/>
      <c r="K125" s="161"/>
      <c r="L125" s="23"/>
    </row>
    <row r="126" spans="1:12" x14ac:dyDescent="0.25">
      <c r="A126" s="66"/>
      <c r="B126" s="143"/>
      <c r="C126" s="144">
        <v>689.72</v>
      </c>
      <c r="D126" s="158" t="s">
        <v>19</v>
      </c>
      <c r="E126" s="43"/>
      <c r="F126" s="159"/>
      <c r="G126" s="160"/>
      <c r="H126" s="160"/>
      <c r="I126" s="160"/>
      <c r="J126" s="160"/>
      <c r="K126" s="161"/>
      <c r="L126" s="23"/>
    </row>
    <row r="127" spans="1:12" ht="16.5" thickBot="1" x14ac:dyDescent="0.3">
      <c r="A127" s="66"/>
      <c r="B127" s="143"/>
      <c r="C127" s="144">
        <v>340.26</v>
      </c>
      <c r="D127" s="158" t="s">
        <v>20</v>
      </c>
      <c r="E127" s="43"/>
      <c r="F127" s="159"/>
      <c r="G127" s="160"/>
      <c r="H127" s="160"/>
      <c r="I127" s="160"/>
      <c r="J127" s="160"/>
      <c r="K127" s="161"/>
      <c r="L127" s="23"/>
    </row>
    <row r="128" spans="1:12" ht="16.5" thickBot="1" x14ac:dyDescent="0.3">
      <c r="A128" s="71" t="s">
        <v>458</v>
      </c>
      <c r="B128" s="166" t="s">
        <v>17</v>
      </c>
      <c r="C128" s="167"/>
      <c r="D128" s="168"/>
      <c r="E128" s="36" t="s">
        <v>8</v>
      </c>
      <c r="F128" s="119" t="s">
        <v>15</v>
      </c>
      <c r="G128" s="120"/>
      <c r="H128" s="120"/>
      <c r="I128" s="120"/>
      <c r="J128" s="120"/>
      <c r="K128" s="121"/>
      <c r="L128" s="39" t="s">
        <v>16</v>
      </c>
    </row>
    <row r="129" spans="1:12" x14ac:dyDescent="0.25">
      <c r="A129" s="66"/>
      <c r="B129" s="128"/>
      <c r="C129" s="129"/>
      <c r="D129" s="162"/>
      <c r="E129" s="43"/>
      <c r="F129" s="163"/>
      <c r="G129" s="164"/>
      <c r="H129" s="164"/>
      <c r="I129" s="164"/>
      <c r="J129" s="164"/>
      <c r="K129" s="165"/>
      <c r="L129" s="23"/>
    </row>
    <row r="130" spans="1:12" x14ac:dyDescent="0.25">
      <c r="A130" s="66"/>
      <c r="B130" s="92"/>
      <c r="C130" s="93"/>
      <c r="D130" s="94"/>
      <c r="E130" s="43"/>
      <c r="F130" s="81"/>
      <c r="G130" s="82"/>
      <c r="H130" s="82"/>
      <c r="I130" s="82"/>
      <c r="J130" s="82"/>
      <c r="K130" s="83"/>
      <c r="L130" s="44"/>
    </row>
    <row r="131" spans="1:12" x14ac:dyDescent="0.25">
      <c r="A131" s="66"/>
      <c r="B131" s="92"/>
      <c r="C131" s="93"/>
      <c r="D131" s="94"/>
      <c r="E131" s="43"/>
      <c r="F131" s="81"/>
      <c r="G131" s="82"/>
      <c r="H131" s="82"/>
      <c r="I131" s="82"/>
      <c r="J131" s="82"/>
      <c r="K131" s="83"/>
      <c r="L131" s="44"/>
    </row>
    <row r="132" spans="1:12" x14ac:dyDescent="0.25">
      <c r="A132" s="66"/>
      <c r="B132" s="92"/>
      <c r="C132" s="93"/>
      <c r="D132" s="94"/>
      <c r="E132" s="43"/>
      <c r="F132" s="81"/>
      <c r="G132" s="82"/>
      <c r="H132" s="82"/>
      <c r="I132" s="82"/>
      <c r="J132" s="82"/>
      <c r="K132" s="83"/>
      <c r="L132" s="44"/>
    </row>
    <row r="133" spans="1:12" x14ac:dyDescent="0.25">
      <c r="A133" s="66"/>
      <c r="B133" s="92"/>
      <c r="C133" s="93"/>
      <c r="D133" s="94"/>
      <c r="E133" s="43"/>
      <c r="F133" s="81"/>
      <c r="G133" s="82"/>
      <c r="H133" s="82"/>
      <c r="I133" s="82"/>
      <c r="J133" s="82"/>
      <c r="K133" s="83"/>
      <c r="L133" s="44"/>
    </row>
    <row r="134" spans="1:12" x14ac:dyDescent="0.25">
      <c r="A134" s="66"/>
      <c r="B134" s="143"/>
      <c r="C134" s="144"/>
      <c r="D134" s="158"/>
      <c r="E134" s="43"/>
      <c r="F134" s="159"/>
      <c r="G134" s="160"/>
      <c r="H134" s="160"/>
      <c r="I134" s="160"/>
      <c r="J134" s="160"/>
      <c r="K134" s="161"/>
      <c r="L134" s="44"/>
    </row>
    <row r="135" spans="1:12" x14ac:dyDescent="0.25">
      <c r="A135" s="66"/>
      <c r="B135" s="143"/>
      <c r="C135" s="144"/>
      <c r="D135" s="158"/>
      <c r="E135" s="43"/>
      <c r="F135" s="159"/>
      <c r="G135" s="160"/>
      <c r="H135" s="160"/>
      <c r="I135" s="160"/>
      <c r="J135" s="160"/>
      <c r="K135" s="161"/>
      <c r="L135" s="44"/>
    </row>
    <row r="136" spans="1:12" x14ac:dyDescent="0.25">
      <c r="A136" s="66"/>
      <c r="B136" s="143"/>
      <c r="C136" s="144"/>
      <c r="D136" s="158"/>
      <c r="E136" s="43"/>
      <c r="F136" s="159"/>
      <c r="G136" s="160"/>
      <c r="H136" s="160"/>
      <c r="I136" s="160"/>
      <c r="J136" s="160"/>
      <c r="K136" s="161"/>
      <c r="L136" s="44"/>
    </row>
    <row r="137" spans="1:12" x14ac:dyDescent="0.25">
      <c r="A137" s="66"/>
      <c r="B137" s="143"/>
      <c r="C137" s="144"/>
      <c r="D137" s="158"/>
      <c r="E137" s="43"/>
      <c r="F137" s="159"/>
      <c r="G137" s="160"/>
      <c r="H137" s="160"/>
      <c r="I137" s="160"/>
      <c r="J137" s="160"/>
      <c r="K137" s="161"/>
      <c r="L137" s="44"/>
    </row>
    <row r="138" spans="1:12" ht="16.5" thickBot="1" x14ac:dyDescent="0.3">
      <c r="A138" s="67"/>
      <c r="B138" s="149"/>
      <c r="C138" s="150"/>
      <c r="D138" s="169"/>
      <c r="E138" s="43"/>
      <c r="F138" s="170"/>
      <c r="G138" s="171"/>
      <c r="H138" s="171"/>
      <c r="I138" s="171"/>
      <c r="J138" s="171"/>
      <c r="K138" s="172"/>
      <c r="L138" s="29"/>
    </row>
    <row r="139" spans="1:12" ht="16.5" thickBot="1" x14ac:dyDescent="0.3">
      <c r="A139" s="70" t="s">
        <v>458</v>
      </c>
      <c r="B139" s="173" t="s">
        <v>463</v>
      </c>
      <c r="C139" s="174"/>
      <c r="D139" s="175"/>
      <c r="E139" s="36" t="s">
        <v>8</v>
      </c>
      <c r="F139" s="119" t="s">
        <v>15</v>
      </c>
      <c r="G139" s="120"/>
      <c r="H139" s="120"/>
      <c r="I139" s="120"/>
      <c r="J139" s="120"/>
      <c r="K139" s="121"/>
      <c r="L139" s="39" t="s">
        <v>16</v>
      </c>
    </row>
    <row r="140" spans="1:12" ht="16.5" thickBot="1" x14ac:dyDescent="0.3">
      <c r="A140" s="17" t="s">
        <v>73</v>
      </c>
      <c r="B140" s="128" t="s">
        <v>523</v>
      </c>
      <c r="C140" s="129"/>
      <c r="D140" s="162"/>
      <c r="E140" s="43">
        <v>814.15</v>
      </c>
      <c r="F140" s="163"/>
      <c r="G140" s="164"/>
      <c r="H140" s="164"/>
      <c r="I140" s="164"/>
      <c r="J140" s="164"/>
      <c r="K140" s="165"/>
      <c r="L140" s="23" t="s">
        <v>33</v>
      </c>
    </row>
    <row r="141" spans="1:12" x14ac:dyDescent="0.25">
      <c r="A141" s="17" t="s">
        <v>193</v>
      </c>
      <c r="B141" s="128" t="s">
        <v>540</v>
      </c>
      <c r="C141" s="129"/>
      <c r="D141" s="162"/>
      <c r="E141" s="43">
        <v>1767.85</v>
      </c>
      <c r="F141" s="159"/>
      <c r="G141" s="160"/>
      <c r="H141" s="160"/>
      <c r="I141" s="160"/>
      <c r="J141" s="160"/>
      <c r="K141" s="161"/>
      <c r="L141" s="23" t="s">
        <v>33</v>
      </c>
    </row>
    <row r="142" spans="1:12" x14ac:dyDescent="0.25">
      <c r="A142" s="17" t="s">
        <v>443</v>
      </c>
      <c r="B142" s="143" t="s">
        <v>869</v>
      </c>
      <c r="C142" s="144"/>
      <c r="D142" s="158"/>
      <c r="E142" s="43">
        <v>1783.53</v>
      </c>
      <c r="F142" s="159"/>
      <c r="G142" s="160"/>
      <c r="H142" s="160"/>
      <c r="I142" s="160"/>
      <c r="J142" s="160"/>
      <c r="K142" s="161"/>
      <c r="L142" s="23" t="s">
        <v>33</v>
      </c>
    </row>
    <row r="143" spans="1:12" x14ac:dyDescent="0.25">
      <c r="A143" s="17" t="s">
        <v>212</v>
      </c>
      <c r="B143" s="143" t="s">
        <v>619</v>
      </c>
      <c r="C143" s="144"/>
      <c r="D143" s="158"/>
      <c r="E143" s="43">
        <v>288.8</v>
      </c>
      <c r="F143" s="159"/>
      <c r="G143" s="160"/>
      <c r="H143" s="160"/>
      <c r="I143" s="160"/>
      <c r="J143" s="160"/>
      <c r="K143" s="161"/>
      <c r="L143" s="23" t="s">
        <v>33</v>
      </c>
    </row>
    <row r="144" spans="1:12" x14ac:dyDescent="0.25">
      <c r="A144" s="17" t="s">
        <v>966</v>
      </c>
      <c r="B144" s="143" t="s">
        <v>967</v>
      </c>
      <c r="C144" s="144"/>
      <c r="D144" s="158"/>
      <c r="E144" s="43">
        <v>304.18</v>
      </c>
      <c r="F144" s="159" t="s">
        <v>1072</v>
      </c>
      <c r="G144" s="160"/>
      <c r="H144" s="160"/>
      <c r="I144" s="160"/>
      <c r="J144" s="160"/>
      <c r="K144" s="161"/>
      <c r="L144" s="23" t="s">
        <v>71</v>
      </c>
    </row>
    <row r="145" spans="1:12" x14ac:dyDescent="0.25">
      <c r="A145" s="17" t="s">
        <v>968</v>
      </c>
      <c r="B145" s="143" t="s">
        <v>969</v>
      </c>
      <c r="C145" s="144"/>
      <c r="D145" s="158"/>
      <c r="E145" s="43">
        <v>1201.33</v>
      </c>
      <c r="F145" s="159" t="s">
        <v>1073</v>
      </c>
      <c r="G145" s="160"/>
      <c r="H145" s="160"/>
      <c r="I145" s="160"/>
      <c r="J145" s="160"/>
      <c r="K145" s="161"/>
      <c r="L145" s="23" t="s">
        <v>71</v>
      </c>
    </row>
    <row r="146" spans="1:12" x14ac:dyDescent="0.25">
      <c r="A146" s="17" t="s">
        <v>970</v>
      </c>
      <c r="B146" s="143" t="s">
        <v>971</v>
      </c>
      <c r="C146" s="144"/>
      <c r="D146" s="158"/>
      <c r="E146" s="43">
        <v>6267.21</v>
      </c>
      <c r="F146" s="159"/>
      <c r="G146" s="160"/>
      <c r="H146" s="160"/>
      <c r="I146" s="160"/>
      <c r="J146" s="160"/>
      <c r="K146" s="161"/>
      <c r="L146" s="23" t="s">
        <v>71</v>
      </c>
    </row>
    <row r="147" spans="1:12" x14ac:dyDescent="0.25">
      <c r="A147" s="17"/>
      <c r="B147" s="143"/>
      <c r="C147" s="144"/>
      <c r="D147" s="158"/>
      <c r="E147" s="43"/>
      <c r="F147" s="159"/>
      <c r="G147" s="160"/>
      <c r="H147" s="160"/>
      <c r="I147" s="160"/>
      <c r="J147" s="160"/>
      <c r="K147" s="161"/>
      <c r="L147" s="23"/>
    </row>
    <row r="148" spans="1:12" x14ac:dyDescent="0.25">
      <c r="A148" s="17"/>
      <c r="B148" s="143"/>
      <c r="C148" s="144"/>
      <c r="D148" s="158"/>
      <c r="E148" s="43"/>
      <c r="F148" s="159"/>
      <c r="G148" s="160"/>
      <c r="H148" s="160"/>
      <c r="I148" s="160"/>
      <c r="J148" s="160"/>
      <c r="K148" s="161"/>
      <c r="L148" s="23"/>
    </row>
    <row r="149" spans="1:12" x14ac:dyDescent="0.25">
      <c r="A149" s="17"/>
      <c r="B149" s="143"/>
      <c r="C149" s="144"/>
      <c r="D149" s="158"/>
      <c r="E149" s="43"/>
      <c r="F149" s="159"/>
      <c r="G149" s="160"/>
      <c r="H149" s="160"/>
      <c r="I149" s="160"/>
      <c r="J149" s="160"/>
      <c r="K149" s="161"/>
      <c r="L149" s="17"/>
    </row>
    <row r="150" spans="1:12" x14ac:dyDescent="0.25">
      <c r="A150" s="17"/>
      <c r="B150" s="143"/>
      <c r="C150" s="144"/>
      <c r="D150" s="158"/>
      <c r="E150" s="43"/>
      <c r="F150" s="159"/>
      <c r="G150" s="160"/>
      <c r="H150" s="160"/>
      <c r="I150" s="160"/>
      <c r="J150" s="160"/>
      <c r="K150" s="161"/>
      <c r="L150" s="17"/>
    </row>
    <row r="151" spans="1:12" x14ac:dyDescent="0.25">
      <c r="A151" s="17"/>
      <c r="B151" s="143"/>
      <c r="C151" s="144"/>
      <c r="D151" s="158"/>
      <c r="E151" s="43"/>
      <c r="F151" s="159"/>
      <c r="G151" s="160"/>
      <c r="H151" s="160"/>
      <c r="I151" s="160"/>
      <c r="J151" s="160"/>
      <c r="K151" s="161"/>
      <c r="L151" s="17"/>
    </row>
    <row r="152" spans="1:12" ht="16.5" thickBot="1" x14ac:dyDescent="0.3">
      <c r="A152" s="26"/>
      <c r="B152" s="149"/>
      <c r="C152" s="150"/>
      <c r="D152" s="169"/>
      <c r="E152" s="45"/>
      <c r="F152" s="170"/>
      <c r="G152" s="171"/>
      <c r="H152" s="171"/>
      <c r="I152" s="171"/>
      <c r="J152" s="171"/>
      <c r="K152" s="172"/>
      <c r="L152" s="26"/>
    </row>
    <row r="153" spans="1:12" x14ac:dyDescent="0.25">
      <c r="A153" s="68"/>
      <c r="B153" s="69"/>
      <c r="C153" s="46"/>
      <c r="D153" s="46"/>
      <c r="F153" s="47"/>
      <c r="G153" s="47"/>
      <c r="H153" s="47"/>
      <c r="I153" s="47"/>
      <c r="J153" s="47"/>
      <c r="K153" s="47"/>
    </row>
    <row r="154" spans="1:12" x14ac:dyDescent="0.25">
      <c r="B154" s="176" t="s">
        <v>464</v>
      </c>
      <c r="C154" s="176"/>
      <c r="D154" s="176"/>
      <c r="E154" s="6">
        <f>SUM(E39:E47)</f>
        <v>634.95000000000005</v>
      </c>
      <c r="F154" s="6"/>
      <c r="G154" s="6"/>
      <c r="H154" s="6"/>
      <c r="I154" s="6"/>
      <c r="J154" s="6"/>
      <c r="K154" s="6"/>
    </row>
    <row r="155" spans="1:12" x14ac:dyDescent="0.25">
      <c r="B155" s="176" t="s">
        <v>465</v>
      </c>
      <c r="C155" s="176"/>
      <c r="D155" s="176"/>
      <c r="E155" s="6">
        <f>SUM(E20:E37)</f>
        <v>4990.74</v>
      </c>
    </row>
    <row r="156" spans="1:12" x14ac:dyDescent="0.25">
      <c r="B156" s="176" t="s">
        <v>466</v>
      </c>
      <c r="C156" s="176"/>
      <c r="D156" s="176"/>
      <c r="E156" s="6">
        <f>SUM(E49:E127)</f>
        <v>72207.780000000013</v>
      </c>
    </row>
    <row r="161" spans="2:2" ht="18.75" x14ac:dyDescent="0.3">
      <c r="B161" s="48"/>
    </row>
  </sheetData>
  <mergeCells count="251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5:D45"/>
    <mergeCell ref="F45:K45"/>
    <mergeCell ref="B46:D46"/>
    <mergeCell ref="F46:K46"/>
    <mergeCell ref="B47:D47"/>
    <mergeCell ref="F47:K47"/>
    <mergeCell ref="B50:D50"/>
    <mergeCell ref="B51:D51"/>
    <mergeCell ref="B52:D52"/>
    <mergeCell ref="H49:K49"/>
    <mergeCell ref="H50:K50"/>
    <mergeCell ref="H51:K51"/>
    <mergeCell ref="H52:K52"/>
    <mergeCell ref="B107:D107"/>
    <mergeCell ref="F107:K107"/>
    <mergeCell ref="B125:D125"/>
    <mergeCell ref="F125:K125"/>
    <mergeCell ref="B126:D126"/>
    <mergeCell ref="F126:K126"/>
    <mergeCell ref="B106:D106"/>
    <mergeCell ref="F106:K106"/>
    <mergeCell ref="B48:D48"/>
    <mergeCell ref="F48:K48"/>
    <mergeCell ref="B49:D49"/>
    <mergeCell ref="B53:D53"/>
    <mergeCell ref="B54:D54"/>
    <mergeCell ref="B55:D55"/>
    <mergeCell ref="B61:D61"/>
    <mergeCell ref="B62:D62"/>
    <mergeCell ref="B63:D63"/>
    <mergeCell ref="B64:D64"/>
    <mergeCell ref="B65:D65"/>
    <mergeCell ref="H65:K65"/>
    <mergeCell ref="B56:D56"/>
    <mergeCell ref="B57:D57"/>
    <mergeCell ref="B58:D58"/>
    <mergeCell ref="B59:D59"/>
    <mergeCell ref="B134:D134"/>
    <mergeCell ref="F134:K134"/>
    <mergeCell ref="B135:D135"/>
    <mergeCell ref="F135:K135"/>
    <mergeCell ref="B136:D136"/>
    <mergeCell ref="F136:K136"/>
    <mergeCell ref="B127:D127"/>
    <mergeCell ref="F127:K127"/>
    <mergeCell ref="B128:D128"/>
    <mergeCell ref="F128:K128"/>
    <mergeCell ref="B129:D129"/>
    <mergeCell ref="F129:K129"/>
    <mergeCell ref="B140:D140"/>
    <mergeCell ref="F140:K140"/>
    <mergeCell ref="B141:D141"/>
    <mergeCell ref="F141:K141"/>
    <mergeCell ref="B142:D142"/>
    <mergeCell ref="F142:K142"/>
    <mergeCell ref="B137:D137"/>
    <mergeCell ref="F137:K137"/>
    <mergeCell ref="B138:D138"/>
    <mergeCell ref="F138:K138"/>
    <mergeCell ref="B139:D139"/>
    <mergeCell ref="F139:K139"/>
    <mergeCell ref="B146:D146"/>
    <mergeCell ref="F146:K146"/>
    <mergeCell ref="B147:D147"/>
    <mergeCell ref="F147:K147"/>
    <mergeCell ref="B148:D148"/>
    <mergeCell ref="F148:K148"/>
    <mergeCell ref="B143:D143"/>
    <mergeCell ref="F143:K143"/>
    <mergeCell ref="B144:D144"/>
    <mergeCell ref="F144:K144"/>
    <mergeCell ref="B145:D145"/>
    <mergeCell ref="F145:K145"/>
    <mergeCell ref="B152:D152"/>
    <mergeCell ref="F152:K152"/>
    <mergeCell ref="B154:D154"/>
    <mergeCell ref="B155:D155"/>
    <mergeCell ref="B156:D156"/>
    <mergeCell ref="B149:D149"/>
    <mergeCell ref="F149:K149"/>
    <mergeCell ref="B150:D150"/>
    <mergeCell ref="F150:K150"/>
    <mergeCell ref="B151:D151"/>
    <mergeCell ref="F151:K151"/>
    <mergeCell ref="B60:D60"/>
    <mergeCell ref="B66:D66"/>
    <mergeCell ref="B67:D67"/>
    <mergeCell ref="B68:D68"/>
    <mergeCell ref="B69:D69"/>
    <mergeCell ref="B70:D70"/>
    <mergeCell ref="H66:K66"/>
    <mergeCell ref="H67:K67"/>
    <mergeCell ref="H68:K68"/>
    <mergeCell ref="H69:K69"/>
    <mergeCell ref="H70:K70"/>
    <mergeCell ref="H62:K62"/>
    <mergeCell ref="H63:K63"/>
    <mergeCell ref="H64:K64"/>
    <mergeCell ref="B71:D71"/>
    <mergeCell ref="B72:D72"/>
    <mergeCell ref="B73:D73"/>
    <mergeCell ref="B74:D74"/>
    <mergeCell ref="B75:D75"/>
    <mergeCell ref="H71:K71"/>
    <mergeCell ref="H72:K72"/>
    <mergeCell ref="H73:K73"/>
    <mergeCell ref="H74:K74"/>
    <mergeCell ref="H75:K75"/>
    <mergeCell ref="B76:D76"/>
    <mergeCell ref="B77:D77"/>
    <mergeCell ref="B78:D78"/>
    <mergeCell ref="B79:D79"/>
    <mergeCell ref="B80:D80"/>
    <mergeCell ref="H76:K76"/>
    <mergeCell ref="H77:K77"/>
    <mergeCell ref="H78:K78"/>
    <mergeCell ref="H79:K79"/>
    <mergeCell ref="H80:K80"/>
    <mergeCell ref="H90:K90"/>
    <mergeCell ref="B81:D81"/>
    <mergeCell ref="B82:D82"/>
    <mergeCell ref="B83:D83"/>
    <mergeCell ref="B84:D84"/>
    <mergeCell ref="B85:D85"/>
    <mergeCell ref="H81:K81"/>
    <mergeCell ref="H82:K82"/>
    <mergeCell ref="H83:K83"/>
    <mergeCell ref="H84:K84"/>
    <mergeCell ref="H85:K85"/>
    <mergeCell ref="B86:D86"/>
    <mergeCell ref="B87:D87"/>
    <mergeCell ref="B88:D88"/>
    <mergeCell ref="B89:D89"/>
    <mergeCell ref="B90:D90"/>
    <mergeCell ref="H86:K86"/>
    <mergeCell ref="H87:K87"/>
    <mergeCell ref="H88:K88"/>
    <mergeCell ref="H89:K89"/>
    <mergeCell ref="B103:D103"/>
    <mergeCell ref="B104:D104"/>
    <mergeCell ref="B105:D105"/>
    <mergeCell ref="H101:K101"/>
    <mergeCell ref="H102:K102"/>
    <mergeCell ref="H103:K103"/>
    <mergeCell ref="H104:K104"/>
    <mergeCell ref="H105:K105"/>
    <mergeCell ref="B96:D96"/>
    <mergeCell ref="B97:D97"/>
    <mergeCell ref="B98:D98"/>
    <mergeCell ref="B99:D99"/>
    <mergeCell ref="B100:D100"/>
    <mergeCell ref="H96:K96"/>
    <mergeCell ref="H97:K97"/>
    <mergeCell ref="H98:K98"/>
    <mergeCell ref="H99:K99"/>
    <mergeCell ref="H100:K100"/>
    <mergeCell ref="B101:D101"/>
    <mergeCell ref="B102:D102"/>
    <mergeCell ref="B91:D91"/>
    <mergeCell ref="B92:D92"/>
    <mergeCell ref="B93:D93"/>
    <mergeCell ref="B94:D94"/>
    <mergeCell ref="B95:D95"/>
    <mergeCell ref="H91:K91"/>
    <mergeCell ref="H92:K92"/>
    <mergeCell ref="H93:K93"/>
    <mergeCell ref="H94:K94"/>
    <mergeCell ref="H95:K95"/>
    <mergeCell ref="H53:K53"/>
    <mergeCell ref="H54:K54"/>
    <mergeCell ref="H55:K55"/>
    <mergeCell ref="H56:K56"/>
    <mergeCell ref="H57:K57"/>
    <mergeCell ref="H58:K58"/>
    <mergeCell ref="H59:K59"/>
    <mergeCell ref="H60:K60"/>
    <mergeCell ref="H61:K61"/>
  </mergeCells>
  <conditionalFormatting sqref="A18:A19 M48:XFD105 B106:XFD127">
    <cfRule type="cellIs" dxfId="345" priority="1" stopIfTrue="1" operator="equal">
      <formula>"OK"</formula>
    </cfRule>
  </conditionalFormatting>
  <conditionalFormatting sqref="A159:XFD1048576">
    <cfRule type="cellIs" dxfId="344" priority="13" stopIfTrue="1" operator="equal">
      <formula>"OK"</formula>
    </cfRule>
  </conditionalFormatting>
  <conditionalFormatting sqref="B49:B105 B20:H37">
    <cfRule type="expression" dxfId="343" priority="20">
      <formula>$J20="ancien paiement"</formula>
    </cfRule>
  </conditionalFormatting>
  <conditionalFormatting sqref="B134:B136 E134:F136 B141:D141 E141:F142 B142 B143:XFD143 B144 E144:F144 B145:XFD158 B19:H37 B38:XFD47 B137:XFD140 B128:XFD133 B1:J1 M1:XFD1 A2:XFD2 E3 G3:I3 M3:XFD3 B3:D6 K4 P4:XFD7 K5:L7 B7:I7 B8:D8 F8 I8 M8:XFD8 L9:XFD16 A17:XFD17 M18:XFD18 L19:XFD37 L134:XFD136 L141:XFD142 L144:XFD144">
    <cfRule type="cellIs" dxfId="342" priority="22" stopIfTrue="1" operator="equal">
      <formula>"OK"</formula>
    </cfRule>
  </conditionalFormatting>
  <conditionalFormatting sqref="B9:I16">
    <cfRule type="cellIs" dxfId="341" priority="11" stopIfTrue="1" operator="equal">
      <formula>"OK"</formula>
    </cfRule>
  </conditionalFormatting>
  <conditionalFormatting sqref="B39:K39">
    <cfRule type="expression" dxfId="340" priority="18">
      <formula>$J39="ancien paiement"</formula>
    </cfRule>
  </conditionalFormatting>
  <conditionalFormatting sqref="B39:K48 B49:B105">
    <cfRule type="expression" dxfId="339" priority="5">
      <formula>$F39="ancien paiement"</formula>
    </cfRule>
  </conditionalFormatting>
  <conditionalFormatting sqref="B41:K48">
    <cfRule type="expression" dxfId="338" priority="6">
      <formula>$J41="ancien paiement"</formula>
    </cfRule>
  </conditionalFormatting>
  <conditionalFormatting sqref="B107:K133">
    <cfRule type="expression" dxfId="337" priority="7">
      <formula>$F107="ancien paiement"</formula>
    </cfRule>
    <cfRule type="expression" dxfId="336" priority="8">
      <formula>$J107="ancien paiement"</formula>
    </cfRule>
  </conditionalFormatting>
  <conditionalFormatting sqref="B137:K138">
    <cfRule type="expression" dxfId="335" priority="16">
      <formula>$F137="ancien paiement"</formula>
    </cfRule>
    <cfRule type="expression" dxfId="334" priority="17">
      <formula>$J137="ancien paiement"</formula>
    </cfRule>
  </conditionalFormatting>
  <conditionalFormatting sqref="B140:K140">
    <cfRule type="expression" dxfId="333" priority="14">
      <formula>$F140="ancien paiement"</formula>
    </cfRule>
    <cfRule type="expression" dxfId="332" priority="15">
      <formula>$J140="ancien paiement"</formula>
    </cfRule>
  </conditionalFormatting>
  <conditionalFormatting sqref="B48:L48 B49:H49 B50:D105">
    <cfRule type="cellIs" dxfId="331" priority="9" stopIfTrue="1" operator="equal">
      <formula>"OK"</formula>
    </cfRule>
  </conditionalFormatting>
  <conditionalFormatting sqref="E49">
    <cfRule type="expression" dxfId="330" priority="10">
      <formula>#REF!="ancien paiement"</formula>
    </cfRule>
  </conditionalFormatting>
  <conditionalFormatting sqref="E49:F105 B134:B136 E134:F136 B141:D141 E141:F142 B142 B143:K143 B144 E144:F144 B145:K152">
    <cfRule type="expression" dxfId="329" priority="19">
      <formula>$F49="ancien paiement"</formula>
    </cfRule>
    <cfRule type="expression" dxfId="328" priority="21">
      <formula>$J49="ancien paiement"</formula>
    </cfRule>
  </conditionalFormatting>
  <conditionalFormatting sqref="E4:I6">
    <cfRule type="cellIs" dxfId="327" priority="12" stopIfTrue="1" operator="equal">
      <formula>"OK"</formula>
    </cfRule>
  </conditionalFormatting>
  <conditionalFormatting sqref="L49:L105 E50:H105">
    <cfRule type="cellIs" dxfId="326" priority="4" stopIfTrue="1" operator="equal">
      <formula>"OK"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3F43-2A28-42C4-B44F-8C68B868480D}">
  <sheetPr>
    <pageSetUpPr fitToPage="1"/>
  </sheetPr>
  <dimension ref="A1:N96"/>
  <sheetViews>
    <sheetView workbookViewId="0">
      <selection activeCell="Q6" sqref="Q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2.140625" style="1" customWidth="1"/>
    <col min="13" max="16384" width="11.42578125" style="1"/>
  </cols>
  <sheetData>
    <row r="1" spans="2:14" x14ac:dyDescent="0.25">
      <c r="I1" s="2" t="s">
        <v>0</v>
      </c>
      <c r="J1" s="105">
        <v>46129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3735</v>
      </c>
      <c r="G4" s="1" t="s">
        <v>1074</v>
      </c>
      <c r="I4" s="112" t="s">
        <v>3</v>
      </c>
      <c r="J4" s="113"/>
      <c r="K4" s="114">
        <f>E89+C14</f>
        <v>3734.24</v>
      </c>
      <c r="L4" s="115"/>
      <c r="N4" s="6"/>
    </row>
    <row r="5" spans="2:14" ht="16.5" thickBot="1" x14ac:dyDescent="0.3">
      <c r="E5" s="7" t="s">
        <v>4</v>
      </c>
      <c r="F5" s="8">
        <v>14073.27</v>
      </c>
      <c r="G5" s="1" t="s">
        <v>1075</v>
      </c>
      <c r="I5" s="95" t="s">
        <v>5</v>
      </c>
      <c r="J5" s="96"/>
      <c r="K5" s="97">
        <f>E15+E90</f>
        <v>14073.270000000002</v>
      </c>
      <c r="L5" s="98"/>
      <c r="N5" s="6"/>
    </row>
    <row r="6" spans="2:14" ht="16.5" thickBot="1" x14ac:dyDescent="0.3">
      <c r="E6" s="9" t="s">
        <v>445</v>
      </c>
      <c r="F6" s="10">
        <v>9.24</v>
      </c>
      <c r="I6" s="95" t="s">
        <v>446</v>
      </c>
      <c r="J6" s="96"/>
      <c r="K6" s="97">
        <f>G15+E91</f>
        <v>16803.8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800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1520</v>
      </c>
      <c r="D10" s="19" t="s">
        <v>471</v>
      </c>
      <c r="E10" s="49">
        <v>559.87</v>
      </c>
      <c r="F10" s="20" t="s">
        <v>9</v>
      </c>
      <c r="G10" s="21">
        <v>16803.8</v>
      </c>
      <c r="H10" s="6"/>
      <c r="I10" s="137" t="s">
        <v>1076</v>
      </c>
      <c r="J10" s="138"/>
      <c r="K10" s="139"/>
      <c r="L10" s="21">
        <v>80</v>
      </c>
    </row>
    <row r="11" spans="2:14" ht="21.6" customHeight="1" x14ac:dyDescent="0.25">
      <c r="B11" s="17" t="s">
        <v>453</v>
      </c>
      <c r="C11" s="18">
        <v>1190</v>
      </c>
      <c r="D11" s="22"/>
      <c r="E11" s="50"/>
      <c r="F11" s="23" t="s">
        <v>454</v>
      </c>
      <c r="G11" s="24"/>
      <c r="H11" s="6"/>
      <c r="I11" s="140" t="s">
        <v>1077</v>
      </c>
      <c r="J11" s="141"/>
      <c r="K11" s="142"/>
      <c r="L11" s="21">
        <v>70</v>
      </c>
    </row>
    <row r="12" spans="2:14" ht="21.6" customHeight="1" x14ac:dyDescent="0.25">
      <c r="B12" s="17" t="s">
        <v>455</v>
      </c>
      <c r="C12" s="18">
        <v>215</v>
      </c>
      <c r="D12" s="22"/>
      <c r="E12" s="50"/>
      <c r="F12" s="23"/>
      <c r="G12" s="24"/>
      <c r="H12" s="6"/>
      <c r="I12" s="140" t="s">
        <v>1078</v>
      </c>
      <c r="J12" s="141"/>
      <c r="K12" s="142"/>
      <c r="L12" s="24">
        <v>1000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3725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291</v>
      </c>
      <c r="D15" s="28" t="s">
        <v>11</v>
      </c>
      <c r="E15" s="29">
        <f>SUM(E10:E14)</f>
        <v>559.87</v>
      </c>
      <c r="F15" s="30" t="s">
        <v>11</v>
      </c>
      <c r="G15" s="31">
        <f>SUM(G10:G14)</f>
        <v>16803.8</v>
      </c>
      <c r="H15" s="6"/>
      <c r="I15" s="116" t="s">
        <v>457</v>
      </c>
      <c r="J15" s="117"/>
      <c r="K15" s="118"/>
      <c r="L15" s="32">
        <f>C15-'16'!C15</f>
        <v>41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-1191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443</v>
      </c>
      <c r="B20" s="128" t="s">
        <v>869</v>
      </c>
      <c r="C20" s="129"/>
      <c r="D20" s="130"/>
      <c r="E20" s="20">
        <v>1783.53</v>
      </c>
      <c r="F20" s="12" t="s">
        <v>44</v>
      </c>
      <c r="G20" s="51">
        <v>7340557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231</v>
      </c>
      <c r="B21" s="143" t="s">
        <v>592</v>
      </c>
      <c r="C21" s="144"/>
      <c r="D21" s="145"/>
      <c r="E21" s="20">
        <v>706.43</v>
      </c>
      <c r="F21" s="23" t="s">
        <v>56</v>
      </c>
      <c r="G21" s="52">
        <v>8903628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63</v>
      </c>
      <c r="B22" s="143" t="s">
        <v>481</v>
      </c>
      <c r="C22" s="144"/>
      <c r="D22" s="145"/>
      <c r="E22" s="20">
        <v>558.09</v>
      </c>
      <c r="F22" s="23" t="s">
        <v>56</v>
      </c>
      <c r="G22" s="52">
        <v>2693024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975</v>
      </c>
      <c r="B23" s="143" t="s">
        <v>1079</v>
      </c>
      <c r="C23" s="144"/>
      <c r="D23" s="145"/>
      <c r="E23" s="20">
        <v>552.23</v>
      </c>
      <c r="F23" s="23" t="s">
        <v>56</v>
      </c>
      <c r="G23" s="52">
        <v>1681014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289</v>
      </c>
      <c r="B24" s="143" t="s">
        <v>662</v>
      </c>
      <c r="C24" s="144"/>
      <c r="D24" s="145"/>
      <c r="E24" s="20">
        <v>450.39</v>
      </c>
      <c r="F24" s="23" t="s">
        <v>62</v>
      </c>
      <c r="G24" s="52">
        <v>114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90</v>
      </c>
      <c r="B25" s="143" t="s">
        <v>509</v>
      </c>
      <c r="C25" s="144"/>
      <c r="D25" s="145"/>
      <c r="E25" s="20">
        <v>329.39</v>
      </c>
      <c r="F25" s="23" t="s">
        <v>75</v>
      </c>
      <c r="G25" s="52">
        <v>302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977</v>
      </c>
      <c r="B26" s="143" t="s">
        <v>646</v>
      </c>
      <c r="C26" s="144"/>
      <c r="D26" s="145"/>
      <c r="E26" s="20">
        <v>466.74</v>
      </c>
      <c r="F26" s="23" t="s">
        <v>62</v>
      </c>
      <c r="G26" s="52">
        <v>4486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977</v>
      </c>
      <c r="B27" s="143" t="s">
        <v>646</v>
      </c>
      <c r="C27" s="144"/>
      <c r="D27" s="145"/>
      <c r="E27" s="20">
        <v>520.62</v>
      </c>
      <c r="F27" s="23" t="s">
        <v>62</v>
      </c>
      <c r="G27" s="52">
        <v>4485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154</v>
      </c>
      <c r="B28" s="143" t="s">
        <v>590</v>
      </c>
      <c r="C28" s="144"/>
      <c r="D28" s="145"/>
      <c r="E28" s="20">
        <v>416.84</v>
      </c>
      <c r="F28" s="23" t="s">
        <v>75</v>
      </c>
      <c r="G28" s="52">
        <v>77</v>
      </c>
      <c r="H28" s="146"/>
      <c r="I28" s="147"/>
      <c r="J28" s="147"/>
      <c r="K28" s="148"/>
      <c r="L28" s="23" t="s">
        <v>33</v>
      </c>
    </row>
    <row r="29" spans="1:12" x14ac:dyDescent="0.25">
      <c r="A29" s="66" t="s">
        <v>142</v>
      </c>
      <c r="B29" s="143" t="s">
        <v>141</v>
      </c>
      <c r="C29" s="144"/>
      <c r="D29" s="145"/>
      <c r="E29" s="20">
        <v>4549.22</v>
      </c>
      <c r="F29" s="23" t="s">
        <v>75</v>
      </c>
      <c r="G29" s="52">
        <v>475</v>
      </c>
      <c r="H29" s="146"/>
      <c r="I29" s="147"/>
      <c r="J29" s="147"/>
      <c r="K29" s="148"/>
      <c r="L29" s="23" t="s">
        <v>33</v>
      </c>
    </row>
    <row r="30" spans="1:12" x14ac:dyDescent="0.25">
      <c r="A30" s="66" t="s">
        <v>982</v>
      </c>
      <c r="B30" s="143" t="s">
        <v>1080</v>
      </c>
      <c r="C30" s="144"/>
      <c r="D30" s="145"/>
      <c r="E30" s="20">
        <v>992.66</v>
      </c>
      <c r="F30" s="23" t="s">
        <v>46</v>
      </c>
      <c r="G30" s="52">
        <v>3885377</v>
      </c>
      <c r="H30" s="146"/>
      <c r="I30" s="147"/>
      <c r="J30" s="147"/>
      <c r="K30" s="148"/>
      <c r="L30" s="23" t="s">
        <v>33</v>
      </c>
    </row>
    <row r="31" spans="1:12" x14ac:dyDescent="0.25">
      <c r="A31" s="66" t="s">
        <v>61</v>
      </c>
      <c r="B31" s="143" t="s">
        <v>480</v>
      </c>
      <c r="C31" s="144"/>
      <c r="D31" s="145"/>
      <c r="E31" s="20">
        <v>746.85</v>
      </c>
      <c r="F31" s="23" t="s">
        <v>62</v>
      </c>
      <c r="G31" s="52">
        <v>2371</v>
      </c>
      <c r="H31" s="146"/>
      <c r="I31" s="147"/>
      <c r="J31" s="147"/>
      <c r="K31" s="148"/>
      <c r="L31" s="23" t="s">
        <v>33</v>
      </c>
    </row>
    <row r="32" spans="1:12" x14ac:dyDescent="0.25">
      <c r="A32" s="66" t="s">
        <v>45</v>
      </c>
      <c r="B32" s="143" t="s">
        <v>48</v>
      </c>
      <c r="C32" s="144"/>
      <c r="D32" s="145"/>
      <c r="E32" s="20">
        <v>566.45000000000005</v>
      </c>
      <c r="F32" s="23" t="s">
        <v>46</v>
      </c>
      <c r="G32" s="52">
        <v>4170211</v>
      </c>
      <c r="H32" s="146"/>
      <c r="I32" s="147"/>
      <c r="J32" s="147"/>
      <c r="K32" s="148"/>
      <c r="L32" s="23" t="s">
        <v>33</v>
      </c>
    </row>
    <row r="33" spans="1:12" x14ac:dyDescent="0.25">
      <c r="A33" s="66" t="s">
        <v>985</v>
      </c>
      <c r="B33" s="143" t="s">
        <v>984</v>
      </c>
      <c r="C33" s="144"/>
      <c r="D33" s="145"/>
      <c r="E33" s="20">
        <v>873.96</v>
      </c>
      <c r="F33" s="23" t="s">
        <v>62</v>
      </c>
      <c r="G33" s="52">
        <v>9788455</v>
      </c>
      <c r="H33" s="146"/>
      <c r="I33" s="147"/>
      <c r="J33" s="147"/>
      <c r="K33" s="148"/>
      <c r="L33" s="23" t="s">
        <v>33</v>
      </c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>
        <v>9.24</v>
      </c>
      <c r="F39" s="163" t="s">
        <v>1081</v>
      </c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1220</v>
      </c>
      <c r="B49" s="143" t="s">
        <v>1219</v>
      </c>
      <c r="C49" s="144"/>
      <c r="D49" s="158"/>
      <c r="E49" s="43"/>
      <c r="F49" s="159" t="s">
        <v>1082</v>
      </c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972</v>
      </c>
      <c r="B66" s="128" t="s">
        <v>691</v>
      </c>
      <c r="C66" s="129"/>
      <c r="D66" s="162"/>
      <c r="E66" s="43">
        <v>313.76</v>
      </c>
      <c r="F66" s="163"/>
      <c r="G66" s="164"/>
      <c r="H66" s="164"/>
      <c r="I66" s="164"/>
      <c r="J66" s="164"/>
      <c r="K66" s="165"/>
      <c r="L66" s="23" t="s">
        <v>33</v>
      </c>
    </row>
    <row r="67" spans="1:12" x14ac:dyDescent="0.25">
      <c r="A67" s="17" t="s">
        <v>973</v>
      </c>
      <c r="B67" s="128" t="s">
        <v>538</v>
      </c>
      <c r="C67" s="129"/>
      <c r="D67" s="162"/>
      <c r="E67" s="43">
        <v>356.95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 t="s">
        <v>64</v>
      </c>
      <c r="B68" s="143" t="s">
        <v>495</v>
      </c>
      <c r="C68" s="144"/>
      <c r="D68" s="158"/>
      <c r="E68" s="43">
        <v>384.94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17" t="s">
        <v>974</v>
      </c>
      <c r="B69" s="143" t="s">
        <v>1083</v>
      </c>
      <c r="C69" s="144"/>
      <c r="D69" s="158"/>
      <c r="E69" s="43">
        <v>262.27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92</v>
      </c>
      <c r="B70" s="143" t="s">
        <v>526</v>
      </c>
      <c r="C70" s="144"/>
      <c r="D70" s="158"/>
      <c r="E70" s="43">
        <v>713.76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17" t="s">
        <v>38</v>
      </c>
      <c r="B71" s="143" t="s">
        <v>488</v>
      </c>
      <c r="C71" s="144"/>
      <c r="D71" s="158"/>
      <c r="E71" s="43">
        <v>559.54999999999995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976</v>
      </c>
      <c r="B72" s="74"/>
      <c r="C72" s="75" t="s">
        <v>1084</v>
      </c>
      <c r="D72" s="76"/>
      <c r="E72" s="43">
        <v>530.5</v>
      </c>
      <c r="F72" s="77"/>
      <c r="G72" s="78"/>
      <c r="H72" s="78"/>
      <c r="I72" s="78"/>
      <c r="J72" s="78"/>
      <c r="K72" s="79"/>
      <c r="L72" s="23" t="s">
        <v>33</v>
      </c>
    </row>
    <row r="73" spans="1:12" x14ac:dyDescent="0.25">
      <c r="A73" s="17" t="s">
        <v>978</v>
      </c>
      <c r="B73" s="74"/>
      <c r="C73" s="75" t="s">
        <v>890</v>
      </c>
      <c r="D73" s="76"/>
      <c r="E73" s="43">
        <v>333.47</v>
      </c>
      <c r="F73" s="77"/>
      <c r="G73" s="78"/>
      <c r="H73" s="78"/>
      <c r="I73" s="78"/>
      <c r="J73" s="78"/>
      <c r="K73" s="79"/>
      <c r="L73" s="23" t="s">
        <v>33</v>
      </c>
    </row>
    <row r="74" spans="1:12" x14ac:dyDescent="0.25">
      <c r="A74" s="17" t="s">
        <v>143</v>
      </c>
      <c r="B74" s="74"/>
      <c r="C74" s="75" t="s">
        <v>694</v>
      </c>
      <c r="D74" s="76"/>
      <c r="E74" s="43">
        <v>581.45000000000005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 t="s">
        <v>979</v>
      </c>
      <c r="B75" s="74"/>
      <c r="C75" s="75" t="s">
        <v>1085</v>
      </c>
      <c r="D75" s="76"/>
      <c r="E75" s="43">
        <v>1005.44</v>
      </c>
      <c r="F75" s="77"/>
      <c r="G75" s="78"/>
      <c r="H75" s="78"/>
      <c r="I75" s="78"/>
      <c r="J75" s="78"/>
      <c r="K75" s="79"/>
      <c r="L75" s="23" t="s">
        <v>33</v>
      </c>
    </row>
    <row r="76" spans="1:12" x14ac:dyDescent="0.25">
      <c r="A76" s="17" t="s">
        <v>980</v>
      </c>
      <c r="B76" s="74"/>
      <c r="C76" s="75" t="s">
        <v>1086</v>
      </c>
      <c r="D76" s="76"/>
      <c r="E76" s="43">
        <v>29244.6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981</v>
      </c>
      <c r="B77" s="74"/>
      <c r="C77" s="75" t="s">
        <v>1087</v>
      </c>
      <c r="D77" s="76"/>
      <c r="E77" s="43">
        <v>2194.4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198</v>
      </c>
      <c r="B78" s="143" t="s">
        <v>613</v>
      </c>
      <c r="C78" s="144"/>
      <c r="D78" s="158"/>
      <c r="E78" s="43">
        <v>301.31</v>
      </c>
      <c r="F78" s="159"/>
      <c r="G78" s="160"/>
      <c r="H78" s="160"/>
      <c r="I78" s="160"/>
      <c r="J78" s="160"/>
      <c r="K78" s="161"/>
      <c r="L78" s="23" t="s">
        <v>33</v>
      </c>
    </row>
    <row r="79" spans="1:12" x14ac:dyDescent="0.25">
      <c r="A79" s="17" t="s">
        <v>91</v>
      </c>
      <c r="B79" s="143" t="s">
        <v>525</v>
      </c>
      <c r="C79" s="144"/>
      <c r="D79" s="158"/>
      <c r="E79" s="43">
        <v>1975.85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235</v>
      </c>
      <c r="B80" s="74"/>
      <c r="C80" s="75" t="s">
        <v>234</v>
      </c>
      <c r="D80" s="76"/>
      <c r="E80" s="43">
        <v>644.70000000000005</v>
      </c>
      <c r="F80" s="77"/>
      <c r="G80" s="78"/>
      <c r="H80" s="78"/>
      <c r="I80" s="78"/>
      <c r="J80" s="78"/>
      <c r="K80" s="79"/>
      <c r="L80" s="23" t="s">
        <v>33</v>
      </c>
    </row>
    <row r="81" spans="1:12" x14ac:dyDescent="0.25">
      <c r="A81" s="17" t="s">
        <v>196</v>
      </c>
      <c r="B81" s="74"/>
      <c r="C81" s="75" t="s">
        <v>524</v>
      </c>
      <c r="D81" s="76"/>
      <c r="E81" s="43">
        <v>2427.4299999999998</v>
      </c>
      <c r="F81" s="77"/>
      <c r="G81" s="78"/>
      <c r="H81" s="78"/>
      <c r="I81" s="78"/>
      <c r="J81" s="78"/>
      <c r="K81" s="79"/>
      <c r="L81" s="23" t="s">
        <v>33</v>
      </c>
    </row>
    <row r="82" spans="1:12" x14ac:dyDescent="0.25">
      <c r="A82" s="17" t="s">
        <v>983</v>
      </c>
      <c r="B82" s="74"/>
      <c r="C82" s="75" t="s">
        <v>1088</v>
      </c>
      <c r="D82" s="76"/>
      <c r="E82" s="43">
        <v>341.42</v>
      </c>
      <c r="F82" s="77"/>
      <c r="G82" s="78"/>
      <c r="H82" s="78"/>
      <c r="I82" s="78"/>
      <c r="J82" s="78"/>
      <c r="K82" s="79"/>
      <c r="L82" s="23" t="s">
        <v>33</v>
      </c>
    </row>
    <row r="83" spans="1:12" x14ac:dyDescent="0.25">
      <c r="A83" s="17"/>
      <c r="B83" s="74"/>
      <c r="C83" s="75"/>
      <c r="D83" s="76"/>
      <c r="E83" s="43"/>
      <c r="F83" s="77"/>
      <c r="G83" s="78"/>
      <c r="H83" s="78"/>
      <c r="I83" s="78"/>
      <c r="J83" s="78"/>
      <c r="K83" s="79"/>
      <c r="L83" s="23"/>
    </row>
    <row r="84" spans="1:12" x14ac:dyDescent="0.25">
      <c r="A84" s="17"/>
      <c r="B84" s="143"/>
      <c r="C84" s="144"/>
      <c r="D84" s="158"/>
      <c r="E84" s="43"/>
      <c r="F84" s="159"/>
      <c r="G84" s="160"/>
      <c r="H84" s="160"/>
      <c r="I84" s="160"/>
      <c r="J84" s="160"/>
      <c r="K84" s="161"/>
      <c r="L84" s="17"/>
    </row>
    <row r="85" spans="1:12" x14ac:dyDescent="0.25">
      <c r="A85" s="17"/>
      <c r="B85" s="143"/>
      <c r="C85" s="144"/>
      <c r="D85" s="158"/>
      <c r="E85" s="43"/>
      <c r="F85" s="159"/>
      <c r="G85" s="160"/>
      <c r="H85" s="160"/>
      <c r="I85" s="160"/>
      <c r="J85" s="160"/>
      <c r="K85" s="161"/>
      <c r="L85" s="17"/>
    </row>
    <row r="86" spans="1:12" x14ac:dyDescent="0.25">
      <c r="A86" s="17"/>
      <c r="B86" s="143"/>
      <c r="C86" s="144"/>
      <c r="D86" s="158"/>
      <c r="E86" s="43"/>
      <c r="F86" s="159"/>
      <c r="G86" s="160"/>
      <c r="H86" s="160"/>
      <c r="I86" s="160"/>
      <c r="J86" s="160"/>
      <c r="K86" s="161"/>
      <c r="L86" s="17"/>
    </row>
    <row r="87" spans="1:12" ht="16.5" thickBot="1" x14ac:dyDescent="0.3">
      <c r="A87" s="26"/>
      <c r="B87" s="149"/>
      <c r="C87" s="150"/>
      <c r="D87" s="169"/>
      <c r="E87" s="45"/>
      <c r="F87" s="170"/>
      <c r="G87" s="171"/>
      <c r="H87" s="171"/>
      <c r="I87" s="171"/>
      <c r="J87" s="171"/>
      <c r="K87" s="172"/>
      <c r="L87" s="26"/>
    </row>
    <row r="88" spans="1:12" x14ac:dyDescent="0.25">
      <c r="A88" s="68"/>
      <c r="B88" s="69"/>
      <c r="C88" s="46"/>
      <c r="D88" s="46"/>
      <c r="F88" s="47"/>
      <c r="G88" s="47"/>
      <c r="H88" s="47"/>
      <c r="I88" s="47"/>
      <c r="J88" s="47"/>
      <c r="K88" s="47"/>
    </row>
    <row r="89" spans="1:12" x14ac:dyDescent="0.25">
      <c r="B89" s="176" t="s">
        <v>464</v>
      </c>
      <c r="C89" s="176"/>
      <c r="D89" s="176"/>
      <c r="E89" s="6">
        <f>SUM(E39:E47)</f>
        <v>9.24</v>
      </c>
      <c r="F89" s="6"/>
      <c r="G89" s="6"/>
      <c r="H89" s="6"/>
      <c r="I89" s="6"/>
      <c r="J89" s="6"/>
      <c r="K89" s="6"/>
    </row>
    <row r="90" spans="1:12" x14ac:dyDescent="0.25">
      <c r="B90" s="176" t="s">
        <v>465</v>
      </c>
      <c r="C90" s="176"/>
      <c r="D90" s="176"/>
      <c r="E90" s="6">
        <f>SUM(E20:E37)</f>
        <v>13513.400000000001</v>
      </c>
    </row>
    <row r="91" spans="1:12" x14ac:dyDescent="0.25">
      <c r="B91" s="176" t="s">
        <v>466</v>
      </c>
      <c r="C91" s="176"/>
      <c r="D91" s="176"/>
      <c r="E91" s="6">
        <f>SUM(E49:E57)</f>
        <v>0</v>
      </c>
    </row>
    <row r="96" spans="1:12" ht="18.75" x14ac:dyDescent="0.3">
      <c r="B96" s="48"/>
    </row>
  </sheetData>
  <mergeCells count="143">
    <mergeCell ref="B89:D89"/>
    <mergeCell ref="B90:D90"/>
    <mergeCell ref="B91:D91"/>
    <mergeCell ref="I6:J6"/>
    <mergeCell ref="K6:L6"/>
    <mergeCell ref="I7:J7"/>
    <mergeCell ref="K7:L7"/>
    <mergeCell ref="B8:C8"/>
    <mergeCell ref="D8:E8"/>
    <mergeCell ref="F8:G8"/>
    <mergeCell ref="B20:D20"/>
    <mergeCell ref="H21:K21"/>
    <mergeCell ref="H20:K20"/>
    <mergeCell ref="B24:D24"/>
    <mergeCell ref="H24:K24"/>
    <mergeCell ref="B25:D25"/>
    <mergeCell ref="H25:K25"/>
    <mergeCell ref="B26:D26"/>
    <mergeCell ref="H26:K26"/>
    <mergeCell ref="B21:D21"/>
    <mergeCell ref="B22:D22"/>
    <mergeCell ref="H22:K22"/>
    <mergeCell ref="B23:D23"/>
    <mergeCell ref="H23:K23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I9:K9"/>
    <mergeCell ref="I10:K10"/>
    <mergeCell ref="I11:K11"/>
    <mergeCell ref="I12:K12"/>
    <mergeCell ref="I13:K13"/>
    <mergeCell ref="I14:K14"/>
    <mergeCell ref="A18:L18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39:D39"/>
    <mergeCell ref="F39:K39"/>
    <mergeCell ref="B48:D48"/>
    <mergeCell ref="F48:K48"/>
    <mergeCell ref="B49:D49"/>
    <mergeCell ref="F49:K49"/>
    <mergeCell ref="B40:D40"/>
    <mergeCell ref="F40:K40"/>
    <mergeCell ref="B41:D41"/>
    <mergeCell ref="F41:K41"/>
    <mergeCell ref="B42:D42"/>
    <mergeCell ref="F42:K42"/>
    <mergeCell ref="B43:D43"/>
    <mergeCell ref="F43:K43"/>
    <mergeCell ref="B44:D44"/>
    <mergeCell ref="F44:K44"/>
    <mergeCell ref="B45:D45"/>
    <mergeCell ref="F45:K45"/>
    <mergeCell ref="B46:D46"/>
    <mergeCell ref="F46:K46"/>
    <mergeCell ref="B47:D47"/>
    <mergeCell ref="F47:K47"/>
    <mergeCell ref="B53:D53"/>
    <mergeCell ref="F53:K53"/>
    <mergeCell ref="B54:D54"/>
    <mergeCell ref="F54:K54"/>
    <mergeCell ref="B55:D55"/>
    <mergeCell ref="F55:K55"/>
    <mergeCell ref="B50:D50"/>
    <mergeCell ref="F50:K50"/>
    <mergeCell ref="B51:D51"/>
    <mergeCell ref="F51:K51"/>
    <mergeCell ref="B52:D52"/>
    <mergeCell ref="F52:K52"/>
    <mergeCell ref="B59:D59"/>
    <mergeCell ref="F59:K59"/>
    <mergeCell ref="B60:D60"/>
    <mergeCell ref="F60:K60"/>
    <mergeCell ref="B61:D61"/>
    <mergeCell ref="F61:K61"/>
    <mergeCell ref="B56:D56"/>
    <mergeCell ref="F56:K56"/>
    <mergeCell ref="B57:D57"/>
    <mergeCell ref="F57:K57"/>
    <mergeCell ref="B58:D58"/>
    <mergeCell ref="F58:K58"/>
    <mergeCell ref="B65:D65"/>
    <mergeCell ref="F65:K65"/>
    <mergeCell ref="B66:D66"/>
    <mergeCell ref="F66:K66"/>
    <mergeCell ref="B67:D67"/>
    <mergeCell ref="F67:K67"/>
    <mergeCell ref="B62:D62"/>
    <mergeCell ref="F62:K62"/>
    <mergeCell ref="B63:D63"/>
    <mergeCell ref="F63:K63"/>
    <mergeCell ref="B64:D64"/>
    <mergeCell ref="F64:K64"/>
    <mergeCell ref="B71:D71"/>
    <mergeCell ref="F71:K71"/>
    <mergeCell ref="B78:D78"/>
    <mergeCell ref="F78:K78"/>
    <mergeCell ref="B68:D68"/>
    <mergeCell ref="F68:K68"/>
    <mergeCell ref="B69:D69"/>
    <mergeCell ref="F69:K69"/>
    <mergeCell ref="B70:D70"/>
    <mergeCell ref="F70:K70"/>
    <mergeCell ref="B86:D86"/>
    <mergeCell ref="F86:K86"/>
    <mergeCell ref="B87:D87"/>
    <mergeCell ref="F87:K87"/>
    <mergeCell ref="B79:D79"/>
    <mergeCell ref="F79:K79"/>
    <mergeCell ref="B84:D84"/>
    <mergeCell ref="F84:K84"/>
    <mergeCell ref="B85:D85"/>
    <mergeCell ref="F85:K85"/>
  </mergeCells>
  <phoneticPr fontId="10" type="noConversion"/>
  <conditionalFormatting sqref="A18:A19 B71:XFD93">
    <cfRule type="cellIs" dxfId="325" priority="1" stopIfTrue="1" operator="equal">
      <formula>"OK"</formula>
    </cfRule>
  </conditionalFormatting>
  <conditionalFormatting sqref="A94:XFD1048576">
    <cfRule type="cellIs" dxfId="324" priority="13" stopIfTrue="1" operator="equal">
      <formula>"OK"</formula>
    </cfRule>
  </conditionalFormatting>
  <conditionalFormatting sqref="B49:B52 B20:H37">
    <cfRule type="expression" dxfId="323" priority="20">
      <formula>$J20="ancien paiement"</formula>
    </cfRule>
  </conditionalFormatting>
  <conditionalFormatting sqref="B60:B62 E60:F62 B67:D67 E67:F68 B68 B69:XFD69 B70 E70:F70 B19:H37 B38:XFD47 B63:XFD66 B58:XFD59 B1:J1 M1:XFD1 A2:XFD2 E3 G3:I3 M3:XFD3 B3:D6 K4 P4:XFD7 K5:L7 B7:I7 B8:D8 F8 I8 M8:XFD8 L9:XFD16 A17:XFD17 M18:XFD18 L19:XFD37 M48:XFD57 L60:XFD62 L67:XFD68 L70:XFD70">
    <cfRule type="cellIs" dxfId="322" priority="22" stopIfTrue="1" operator="equal">
      <formula>"OK"</formula>
    </cfRule>
  </conditionalFormatting>
  <conditionalFormatting sqref="B9:I16">
    <cfRule type="cellIs" dxfId="321" priority="11" stopIfTrue="1" operator="equal">
      <formula>"OK"</formula>
    </cfRule>
  </conditionalFormatting>
  <conditionalFormatting sqref="B39:K39">
    <cfRule type="expression" dxfId="320" priority="18">
      <formula>$J39="ancien paiement"</formula>
    </cfRule>
  </conditionalFormatting>
  <conditionalFormatting sqref="B39:K48 B49:B52">
    <cfRule type="expression" dxfId="319" priority="5">
      <formula>$F39="ancien paiement"</formula>
    </cfRule>
  </conditionalFormatting>
  <conditionalFormatting sqref="B41:K48">
    <cfRule type="expression" dxfId="318" priority="6">
      <formula>$J41="ancien paiement"</formula>
    </cfRule>
  </conditionalFormatting>
  <conditionalFormatting sqref="B54:K59">
    <cfRule type="expression" dxfId="317" priority="7">
      <formula>$F54="ancien paiement"</formula>
    </cfRule>
    <cfRule type="expression" dxfId="316" priority="8">
      <formula>$J54="ancien paiement"</formula>
    </cfRule>
  </conditionalFormatting>
  <conditionalFormatting sqref="B63:K64">
    <cfRule type="expression" dxfId="315" priority="16">
      <formula>$F63="ancien paiement"</formula>
    </cfRule>
    <cfRule type="expression" dxfId="314" priority="17">
      <formula>$J63="ancien paiement"</formula>
    </cfRule>
  </conditionalFormatting>
  <conditionalFormatting sqref="B66:K66">
    <cfRule type="expression" dxfId="313" priority="14">
      <formula>$F66="ancien paiement"</formula>
    </cfRule>
    <cfRule type="expression" dxfId="312" priority="15">
      <formula>$J66="ancien paiement"</formula>
    </cfRule>
  </conditionalFormatting>
  <conditionalFormatting sqref="B71:K87 B60:B62 E60:F62 B67:D67 E67:F68 B68 B69:K69 B70 E70:F70">
    <cfRule type="expression" dxfId="311" priority="19">
      <formula>$F60="ancien paiement"</formula>
    </cfRule>
    <cfRule type="expression" dxfId="310" priority="21">
      <formula>$J60="ancien paiement"</formula>
    </cfRule>
  </conditionalFormatting>
  <conditionalFormatting sqref="B51:L57 B48:L49 B50:D50">
    <cfRule type="cellIs" dxfId="309" priority="9" stopIfTrue="1" operator="equal">
      <formula>"OK"</formula>
    </cfRule>
  </conditionalFormatting>
  <conditionalFormatting sqref="E49">
    <cfRule type="expression" dxfId="308" priority="10">
      <formula>#REF!="ancien paiement"</formula>
    </cfRule>
  </conditionalFormatting>
  <conditionalFormatting sqref="E49:F52">
    <cfRule type="expression" dxfId="307" priority="2">
      <formula>$F49="ancien paiement"</formula>
    </cfRule>
    <cfRule type="expression" dxfId="306" priority="3">
      <formula>$J49="ancien paiement"</formula>
    </cfRule>
  </conditionalFormatting>
  <conditionalFormatting sqref="E4:I6">
    <cfRule type="cellIs" dxfId="305" priority="12" stopIfTrue="1" operator="equal">
      <formula>"OK"</formula>
    </cfRule>
  </conditionalFormatting>
  <conditionalFormatting sqref="E50:L50">
    <cfRule type="cellIs" dxfId="304" priority="4" stopIfTrue="1" operator="equal">
      <formula>"OK"</formula>
    </cfRule>
  </conditionalFormatting>
  <pageMargins left="0.7" right="0.7" top="0.75" bottom="0.75" header="0.3" footer="0.3"/>
  <pageSetup paperSize="9" scale="47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9455-A2A1-4D36-AE17-0EE82CB5E236}">
  <sheetPr>
    <pageSetUpPr fitToPage="1"/>
  </sheetPr>
  <dimension ref="A1:N117"/>
  <sheetViews>
    <sheetView topLeftCell="A36" workbookViewId="0">
      <selection activeCell="I12" sqref="I12:K12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46130</v>
      </c>
      <c r="K1" s="105"/>
      <c r="L1" s="105"/>
    </row>
    <row r="2" spans="2:14" ht="16.5" thickBot="1" x14ac:dyDescent="0.3">
      <c r="G2" s="1" t="s">
        <v>1089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1090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10145</v>
      </c>
      <c r="G4" s="1" t="s">
        <v>1091</v>
      </c>
      <c r="I4" s="112" t="s">
        <v>3</v>
      </c>
      <c r="J4" s="113"/>
      <c r="K4" s="114">
        <f>E80+C14</f>
        <v>10145</v>
      </c>
      <c r="L4" s="115"/>
      <c r="N4" s="6"/>
    </row>
    <row r="5" spans="2:14" ht="16.5" thickBot="1" x14ac:dyDescent="0.3">
      <c r="E5" s="7" t="s">
        <v>4</v>
      </c>
      <c r="F5" s="8">
        <v>2597.37</v>
      </c>
      <c r="G5" s="1" t="s">
        <v>1092</v>
      </c>
      <c r="I5" s="95" t="s">
        <v>5</v>
      </c>
      <c r="J5" s="96"/>
      <c r="K5" s="97">
        <f>E15+E81</f>
        <v>2597.37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29315.67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3200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3220</v>
      </c>
      <c r="D10" s="19" t="s">
        <v>1093</v>
      </c>
      <c r="E10" s="49">
        <v>423.6</v>
      </c>
      <c r="F10" s="20" t="s">
        <v>9</v>
      </c>
      <c r="G10" s="21">
        <v>29315.67</v>
      </c>
      <c r="H10" s="6"/>
      <c r="I10" s="137" t="s">
        <v>1094</v>
      </c>
      <c r="J10" s="138"/>
      <c r="K10" s="139"/>
      <c r="L10" s="21">
        <v>80</v>
      </c>
    </row>
    <row r="11" spans="2:14" ht="21.6" customHeight="1" x14ac:dyDescent="0.25">
      <c r="B11" s="17" t="s">
        <v>453</v>
      </c>
      <c r="C11" s="18">
        <v>3580</v>
      </c>
      <c r="D11" s="22" t="s">
        <v>706</v>
      </c>
      <c r="E11" s="50">
        <v>805.26</v>
      </c>
      <c r="F11" s="23" t="s">
        <v>454</v>
      </c>
      <c r="G11" s="24"/>
      <c r="H11" s="6"/>
      <c r="I11" s="140" t="s">
        <v>1095</v>
      </c>
      <c r="J11" s="141"/>
      <c r="K11" s="142"/>
      <c r="L11" s="21">
        <v>232</v>
      </c>
    </row>
    <row r="12" spans="2:14" ht="21.6" customHeight="1" x14ac:dyDescent="0.25">
      <c r="B12" s="17" t="s">
        <v>455</v>
      </c>
      <c r="C12" s="18">
        <v>145</v>
      </c>
      <c r="D12" s="22" t="s">
        <v>1096</v>
      </c>
      <c r="E12" s="50">
        <v>802.43</v>
      </c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 t="s">
        <v>471</v>
      </c>
      <c r="E13" s="50">
        <v>566.08000000000004</v>
      </c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10145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253</v>
      </c>
      <c r="D15" s="28" t="s">
        <v>11</v>
      </c>
      <c r="E15" s="29">
        <f>SUM(E10:E14)</f>
        <v>2597.37</v>
      </c>
      <c r="F15" s="30" t="s">
        <v>11</v>
      </c>
      <c r="G15" s="31">
        <f>SUM(G10:G14)</f>
        <v>29315.67</v>
      </c>
      <c r="H15" s="6"/>
      <c r="I15" s="116" t="s">
        <v>457</v>
      </c>
      <c r="J15" s="117"/>
      <c r="K15" s="118"/>
      <c r="L15" s="32">
        <f>C15-'17'!C15</f>
        <v>-38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-274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117" s="1" customFormat="1" x14ac:dyDescent="0.25"/>
  </sheetData>
  <mergeCells count="145">
    <mergeCell ref="H32:K32"/>
    <mergeCell ref="B33:D33"/>
    <mergeCell ref="B26:D26"/>
    <mergeCell ref="H26:K26"/>
    <mergeCell ref="B22:D22"/>
    <mergeCell ref="H22:K22"/>
    <mergeCell ref="B23:D23"/>
    <mergeCell ref="I14:K14"/>
    <mergeCell ref="I15:K15"/>
    <mergeCell ref="H23:K23"/>
    <mergeCell ref="H33:K33"/>
    <mergeCell ref="B8:C8"/>
    <mergeCell ref="J1:L1"/>
    <mergeCell ref="E3:F3"/>
    <mergeCell ref="I3:L3"/>
    <mergeCell ref="I4:J4"/>
    <mergeCell ref="K4:L4"/>
    <mergeCell ref="I5:J5"/>
    <mergeCell ref="K5:L5"/>
    <mergeCell ref="I12:K12"/>
    <mergeCell ref="I13:K13"/>
    <mergeCell ref="I9:K9"/>
    <mergeCell ref="I10:K10"/>
    <mergeCell ref="I11:K11"/>
    <mergeCell ref="I6:J6"/>
    <mergeCell ref="K6:L6"/>
    <mergeCell ref="I7:J7"/>
    <mergeCell ref="K7:L7"/>
    <mergeCell ref="D8:E8"/>
    <mergeCell ref="F8:G8"/>
    <mergeCell ref="B34:D34"/>
    <mergeCell ref="H34:K34"/>
    <mergeCell ref="B30:D30"/>
    <mergeCell ref="H30:K30"/>
    <mergeCell ref="B31:D31"/>
    <mergeCell ref="H31:K31"/>
    <mergeCell ref="A18:L18"/>
    <mergeCell ref="B19:D19"/>
    <mergeCell ref="H19:K19"/>
    <mergeCell ref="B20:D20"/>
    <mergeCell ref="H20:K20"/>
    <mergeCell ref="B21:D21"/>
    <mergeCell ref="H21:K21"/>
    <mergeCell ref="B27:D27"/>
    <mergeCell ref="H27:K27"/>
    <mergeCell ref="B28:D28"/>
    <mergeCell ref="H28:K28"/>
    <mergeCell ref="B29:D29"/>
    <mergeCell ref="H29:K29"/>
    <mergeCell ref="B24:D24"/>
    <mergeCell ref="H24:K24"/>
    <mergeCell ref="B25:D25"/>
    <mergeCell ref="H25:K25"/>
    <mergeCell ref="B32:D32"/>
    <mergeCell ref="B38:D38"/>
    <mergeCell ref="B39:D39"/>
    <mergeCell ref="B40:D40"/>
    <mergeCell ref="F40:K40"/>
    <mergeCell ref="B35:D35"/>
    <mergeCell ref="H35:K35"/>
    <mergeCell ref="B36:D36"/>
    <mergeCell ref="H36:K36"/>
    <mergeCell ref="B37:D37"/>
    <mergeCell ref="H37:K37"/>
    <mergeCell ref="F38:K38"/>
    <mergeCell ref="F39:K39"/>
    <mergeCell ref="B44:D44"/>
    <mergeCell ref="F44:K44"/>
    <mergeCell ref="B45:D45"/>
    <mergeCell ref="F45:K45"/>
    <mergeCell ref="B46:D46"/>
    <mergeCell ref="F46:K46"/>
    <mergeCell ref="B41:D41"/>
    <mergeCell ref="F41:K41"/>
    <mergeCell ref="B42:D42"/>
    <mergeCell ref="F42:K42"/>
    <mergeCell ref="B43:D43"/>
    <mergeCell ref="F43:K43"/>
    <mergeCell ref="B50:D50"/>
    <mergeCell ref="F50:K50"/>
    <mergeCell ref="B51:D51"/>
    <mergeCell ref="F51:K51"/>
    <mergeCell ref="B52:D52"/>
    <mergeCell ref="F52:K52"/>
    <mergeCell ref="B47:D47"/>
    <mergeCell ref="F47:K47"/>
    <mergeCell ref="B48:D48"/>
    <mergeCell ref="F48:K48"/>
    <mergeCell ref="B49:D49"/>
    <mergeCell ref="F49:K49"/>
    <mergeCell ref="B56:D56"/>
    <mergeCell ref="F56:K56"/>
    <mergeCell ref="B57:D57"/>
    <mergeCell ref="F57:K57"/>
    <mergeCell ref="B58:D58"/>
    <mergeCell ref="F58:K58"/>
    <mergeCell ref="B53:D53"/>
    <mergeCell ref="F53:K53"/>
    <mergeCell ref="B54:D54"/>
    <mergeCell ref="F54:K54"/>
    <mergeCell ref="B55:D55"/>
    <mergeCell ref="F55:K55"/>
    <mergeCell ref="B62:D62"/>
    <mergeCell ref="F62:K62"/>
    <mergeCell ref="B63:D63"/>
    <mergeCell ref="F63:K63"/>
    <mergeCell ref="B64:D64"/>
    <mergeCell ref="F64:K64"/>
    <mergeCell ref="B59:D59"/>
    <mergeCell ref="F59:K59"/>
    <mergeCell ref="B60:D60"/>
    <mergeCell ref="F60:K60"/>
    <mergeCell ref="B61:D61"/>
    <mergeCell ref="F61:K61"/>
    <mergeCell ref="B68:D68"/>
    <mergeCell ref="F68:K68"/>
    <mergeCell ref="B69:D69"/>
    <mergeCell ref="F69:K69"/>
    <mergeCell ref="B70:D70"/>
    <mergeCell ref="F70:K70"/>
    <mergeCell ref="B65:D65"/>
    <mergeCell ref="F65:K65"/>
    <mergeCell ref="B66:D66"/>
    <mergeCell ref="F66:K66"/>
    <mergeCell ref="B67:D67"/>
    <mergeCell ref="F67:K67"/>
    <mergeCell ref="B82:D82"/>
    <mergeCell ref="F72:K72"/>
    <mergeCell ref="B80:D80"/>
    <mergeCell ref="B73:D73"/>
    <mergeCell ref="F73:K73"/>
    <mergeCell ref="B74:D74"/>
    <mergeCell ref="F74:K74"/>
    <mergeCell ref="B71:D71"/>
    <mergeCell ref="F71:K71"/>
    <mergeCell ref="B72:D72"/>
    <mergeCell ref="B78:D78"/>
    <mergeCell ref="F78:K78"/>
    <mergeCell ref="B75:D75"/>
    <mergeCell ref="F75:K75"/>
    <mergeCell ref="B76:D76"/>
    <mergeCell ref="F76:K76"/>
    <mergeCell ref="B77:D77"/>
    <mergeCell ref="F77:K77"/>
    <mergeCell ref="B81:D81"/>
  </mergeCells>
  <phoneticPr fontId="10" type="noConversion"/>
  <conditionalFormatting sqref="A18:A19">
    <cfRule type="cellIs" dxfId="303" priority="1" stopIfTrue="1" operator="equal">
      <formula>"OK"</formula>
    </cfRule>
  </conditionalFormatting>
  <conditionalFormatting sqref="A85:XFD1048576">
    <cfRule type="cellIs" dxfId="302" priority="13" stopIfTrue="1" operator="equal">
      <formula>"OK"</formula>
    </cfRule>
  </conditionalFormatting>
  <conditionalFormatting sqref="B49:B52 B20:H37">
    <cfRule type="expression" dxfId="301" priority="20">
      <formula>$J20="ancien paiement"</formula>
    </cfRule>
  </conditionalFormatting>
  <conditionalFormatting sqref="B60:B62 E60:F62 B67:D67 E67:F68 B68 B69:K69 B70 E70:F70 B71:K78">
    <cfRule type="expression" dxfId="300" priority="19">
      <formula>$F60="ancien paiement"</formula>
    </cfRule>
    <cfRule type="expression" dxfId="299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298" priority="22" stopIfTrue="1" operator="equal">
      <formula>"OK"</formula>
    </cfRule>
  </conditionalFormatting>
  <conditionalFormatting sqref="B9:I16">
    <cfRule type="cellIs" dxfId="297" priority="11" stopIfTrue="1" operator="equal">
      <formula>"OK"</formula>
    </cfRule>
  </conditionalFormatting>
  <conditionalFormatting sqref="B39:K39">
    <cfRule type="expression" dxfId="296" priority="18">
      <formula>$J39="ancien paiement"</formula>
    </cfRule>
  </conditionalFormatting>
  <conditionalFormatting sqref="B39:K48 B49:B52">
    <cfRule type="expression" dxfId="295" priority="5">
      <formula>$F39="ancien paiement"</formula>
    </cfRule>
  </conditionalFormatting>
  <conditionalFormatting sqref="B41:K48">
    <cfRule type="expression" dxfId="294" priority="6">
      <formula>$J41="ancien paiement"</formula>
    </cfRule>
  </conditionalFormatting>
  <conditionalFormatting sqref="B54:K59">
    <cfRule type="expression" dxfId="293" priority="7">
      <formula>$F54="ancien paiement"</formula>
    </cfRule>
    <cfRule type="expression" dxfId="292" priority="8">
      <formula>$J54="ancien paiement"</formula>
    </cfRule>
  </conditionalFormatting>
  <conditionalFormatting sqref="B63:K64">
    <cfRule type="expression" dxfId="291" priority="16">
      <formula>$F63="ancien paiement"</formula>
    </cfRule>
    <cfRule type="expression" dxfId="290" priority="17">
      <formula>$J63="ancien paiement"</formula>
    </cfRule>
  </conditionalFormatting>
  <conditionalFormatting sqref="B66:K66">
    <cfRule type="expression" dxfId="289" priority="14">
      <formula>$F66="ancien paiement"</formula>
    </cfRule>
    <cfRule type="expression" dxfId="288" priority="15">
      <formula>$J66="ancien paiement"</formula>
    </cfRule>
  </conditionalFormatting>
  <conditionalFormatting sqref="B51:L57 B48:L49 B50:D50">
    <cfRule type="cellIs" dxfId="287" priority="9" stopIfTrue="1" operator="equal">
      <formula>"OK"</formula>
    </cfRule>
  </conditionalFormatting>
  <conditionalFormatting sqref="E49">
    <cfRule type="expression" dxfId="286" priority="10">
      <formula>#REF!="ancien paiement"</formula>
    </cfRule>
  </conditionalFormatting>
  <conditionalFormatting sqref="E49:F52">
    <cfRule type="expression" dxfId="285" priority="2">
      <formula>$F49="ancien paiement"</formula>
    </cfRule>
    <cfRule type="expression" dxfId="284" priority="3">
      <formula>$J49="ancien paiement"</formula>
    </cfRule>
  </conditionalFormatting>
  <conditionalFormatting sqref="E4:I6">
    <cfRule type="cellIs" dxfId="283" priority="12" stopIfTrue="1" operator="equal">
      <formula>"OK"</formula>
    </cfRule>
  </conditionalFormatting>
  <conditionalFormatting sqref="E50:L50">
    <cfRule type="cellIs" dxfId="282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8F24-CBA3-439E-80EB-C2B1D698DF8E}">
  <sheetPr>
    <pageSetUpPr fitToPage="1"/>
  </sheetPr>
  <dimension ref="A1:N117"/>
  <sheetViews>
    <sheetView topLeftCell="A10" workbookViewId="0">
      <selection activeCell="J2" sqref="J2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46131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/>
      <c r="I4" s="112" t="s">
        <v>3</v>
      </c>
      <c r="J4" s="113"/>
      <c r="K4" s="114">
        <f>E80+C14</f>
        <v>0</v>
      </c>
      <c r="L4" s="115"/>
      <c r="N4" s="6"/>
    </row>
    <row r="5" spans="2:14" ht="16.5" thickBot="1" x14ac:dyDescent="0.3">
      <c r="E5" s="7" t="s">
        <v>4</v>
      </c>
      <c r="F5" s="8"/>
      <c r="I5" s="95" t="s">
        <v>5</v>
      </c>
      <c r="J5" s="96"/>
      <c r="K5" s="97">
        <f>E15+E81</f>
        <v>0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0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/>
      <c r="D10" s="19"/>
      <c r="E10" s="49"/>
      <c r="F10" s="20" t="s">
        <v>9</v>
      </c>
      <c r="G10" s="21"/>
      <c r="H10" s="6"/>
      <c r="I10" s="137"/>
      <c r="J10" s="138"/>
      <c r="K10" s="139"/>
      <c r="L10" s="21"/>
    </row>
    <row r="11" spans="2:14" ht="21.6" customHeight="1" x14ac:dyDescent="0.25">
      <c r="B11" s="17" t="s">
        <v>453</v>
      </c>
      <c r="C11" s="18"/>
      <c r="D11" s="22"/>
      <c r="E11" s="50"/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/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/>
      <c r="D15" s="28" t="s">
        <v>11</v>
      </c>
      <c r="E15" s="29">
        <f>SUM(E10:E14)</f>
        <v>0</v>
      </c>
      <c r="F15" s="30" t="s">
        <v>11</v>
      </c>
      <c r="G15" s="31">
        <f>SUM(G10:G14)</f>
        <v>0</v>
      </c>
      <c r="H15" s="6"/>
      <c r="I15" s="116" t="s">
        <v>457</v>
      </c>
      <c r="J15" s="117"/>
      <c r="K15" s="118"/>
      <c r="L15" s="32">
        <f>C15-'18'!C15</f>
        <v>-253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253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117" s="1" customFormat="1" x14ac:dyDescent="0.25"/>
  </sheetData>
  <mergeCells count="145">
    <mergeCell ref="B58:D58"/>
    <mergeCell ref="F58:K58"/>
    <mergeCell ref="I6:J6"/>
    <mergeCell ref="K6:L6"/>
    <mergeCell ref="I7:J7"/>
    <mergeCell ref="K7:L7"/>
    <mergeCell ref="B8:C8"/>
    <mergeCell ref="D8:E8"/>
    <mergeCell ref="F8:G8"/>
    <mergeCell ref="B19:D19"/>
    <mergeCell ref="H19:K19"/>
    <mergeCell ref="B20:D20"/>
    <mergeCell ref="H20:K20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A18:L18"/>
    <mergeCell ref="J1:L1"/>
    <mergeCell ref="E3:F3"/>
    <mergeCell ref="I3:L3"/>
    <mergeCell ref="I4:J4"/>
    <mergeCell ref="K4:L4"/>
    <mergeCell ref="I5:J5"/>
    <mergeCell ref="K5:L5"/>
    <mergeCell ref="I15:K15"/>
    <mergeCell ref="I9:K9"/>
    <mergeCell ref="I10:K10"/>
    <mergeCell ref="I11:K11"/>
    <mergeCell ref="I12:K12"/>
    <mergeCell ref="I13:K13"/>
    <mergeCell ref="I14:K14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5:D45"/>
    <mergeCell ref="F45:K45"/>
    <mergeCell ref="B46:D46"/>
    <mergeCell ref="F46:K46"/>
    <mergeCell ref="B47:D47"/>
    <mergeCell ref="F47:K47"/>
    <mergeCell ref="B50:D50"/>
    <mergeCell ref="F50:K50"/>
    <mergeCell ref="B51:D51"/>
    <mergeCell ref="F51:K51"/>
    <mergeCell ref="B60:D60"/>
    <mergeCell ref="F60:K60"/>
    <mergeCell ref="B61:D61"/>
    <mergeCell ref="F61:K61"/>
    <mergeCell ref="B62:D62"/>
    <mergeCell ref="F62:K62"/>
    <mergeCell ref="B48:D48"/>
    <mergeCell ref="F48:K48"/>
    <mergeCell ref="B49:D49"/>
    <mergeCell ref="F49:K49"/>
    <mergeCell ref="B59:D59"/>
    <mergeCell ref="F59:K59"/>
    <mergeCell ref="B52:D52"/>
    <mergeCell ref="F52:K52"/>
    <mergeCell ref="B53:D53"/>
    <mergeCell ref="F53:K53"/>
    <mergeCell ref="B54:D54"/>
    <mergeCell ref="F54:K54"/>
    <mergeCell ref="B55:D55"/>
    <mergeCell ref="F55:K55"/>
    <mergeCell ref="B56:D56"/>
    <mergeCell ref="F56:K56"/>
    <mergeCell ref="B57:D57"/>
    <mergeCell ref="F57:K57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3:D73"/>
    <mergeCell ref="F73:K73"/>
    <mergeCell ref="B74:D74"/>
    <mergeCell ref="F74:K74"/>
    <mergeCell ref="B69:D69"/>
    <mergeCell ref="F69:K69"/>
    <mergeCell ref="B70:D70"/>
    <mergeCell ref="F70:K70"/>
    <mergeCell ref="B71:D71"/>
    <mergeCell ref="F71:K71"/>
    <mergeCell ref="B78:D78"/>
    <mergeCell ref="F78:K78"/>
    <mergeCell ref="B80:D80"/>
    <mergeCell ref="B81:D81"/>
    <mergeCell ref="B82:D82"/>
    <mergeCell ref="B75:D75"/>
    <mergeCell ref="F75:K75"/>
    <mergeCell ref="B76:D76"/>
    <mergeCell ref="F76:K76"/>
    <mergeCell ref="B77:D77"/>
    <mergeCell ref="F77:K77"/>
  </mergeCells>
  <phoneticPr fontId="10" type="noConversion"/>
  <conditionalFormatting sqref="A18:A19">
    <cfRule type="cellIs" dxfId="281" priority="1" stopIfTrue="1" operator="equal">
      <formula>"OK"</formula>
    </cfRule>
  </conditionalFormatting>
  <conditionalFormatting sqref="A85:XFD1048576">
    <cfRule type="cellIs" dxfId="280" priority="13" stopIfTrue="1" operator="equal">
      <formula>"OK"</formula>
    </cfRule>
  </conditionalFormatting>
  <conditionalFormatting sqref="B49:B52 B20:H37">
    <cfRule type="expression" dxfId="279" priority="20">
      <formula>$J20="ancien paiement"</formula>
    </cfRule>
  </conditionalFormatting>
  <conditionalFormatting sqref="B60:B62 E60:F62 B67:D67 E67:F68 B68 B69:K69 B70 E70:F70 B71:K78">
    <cfRule type="expression" dxfId="278" priority="19">
      <formula>$F60="ancien paiement"</formula>
    </cfRule>
    <cfRule type="expression" dxfId="277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276" priority="22" stopIfTrue="1" operator="equal">
      <formula>"OK"</formula>
    </cfRule>
  </conditionalFormatting>
  <conditionalFormatting sqref="B9:I16">
    <cfRule type="cellIs" dxfId="275" priority="11" stopIfTrue="1" operator="equal">
      <formula>"OK"</formula>
    </cfRule>
  </conditionalFormatting>
  <conditionalFormatting sqref="B39:K39">
    <cfRule type="expression" dxfId="274" priority="18">
      <formula>$J39="ancien paiement"</formula>
    </cfRule>
  </conditionalFormatting>
  <conditionalFormatting sqref="B39:K48 B49:B52">
    <cfRule type="expression" dxfId="273" priority="5">
      <formula>$F39="ancien paiement"</formula>
    </cfRule>
  </conditionalFormatting>
  <conditionalFormatting sqref="B41:K48">
    <cfRule type="expression" dxfId="272" priority="6">
      <formula>$J41="ancien paiement"</formula>
    </cfRule>
  </conditionalFormatting>
  <conditionalFormatting sqref="B54:K59">
    <cfRule type="expression" dxfId="271" priority="7">
      <formula>$F54="ancien paiement"</formula>
    </cfRule>
    <cfRule type="expression" dxfId="270" priority="8">
      <formula>$J54="ancien paiement"</formula>
    </cfRule>
  </conditionalFormatting>
  <conditionalFormatting sqref="B63:K64">
    <cfRule type="expression" dxfId="269" priority="16">
      <formula>$F63="ancien paiement"</formula>
    </cfRule>
    <cfRule type="expression" dxfId="268" priority="17">
      <formula>$J63="ancien paiement"</formula>
    </cfRule>
  </conditionalFormatting>
  <conditionalFormatting sqref="B66:K66">
    <cfRule type="expression" dxfId="267" priority="14">
      <formula>$F66="ancien paiement"</formula>
    </cfRule>
    <cfRule type="expression" dxfId="266" priority="15">
      <formula>$J66="ancien paiement"</formula>
    </cfRule>
  </conditionalFormatting>
  <conditionalFormatting sqref="B51:L57 B48:L49 B50:D50">
    <cfRule type="cellIs" dxfId="265" priority="9" stopIfTrue="1" operator="equal">
      <formula>"OK"</formula>
    </cfRule>
  </conditionalFormatting>
  <conditionalFormatting sqref="E49">
    <cfRule type="expression" dxfId="264" priority="10">
      <formula>#REF!="ancien paiement"</formula>
    </cfRule>
  </conditionalFormatting>
  <conditionalFormatting sqref="E49:F52">
    <cfRule type="expression" dxfId="263" priority="2">
      <formula>$F49="ancien paiement"</formula>
    </cfRule>
    <cfRule type="expression" dxfId="262" priority="3">
      <formula>$J49="ancien paiement"</formula>
    </cfRule>
  </conditionalFormatting>
  <conditionalFormatting sqref="E4:I6">
    <cfRule type="cellIs" dxfId="261" priority="12" stopIfTrue="1" operator="equal">
      <formula>"OK"</formula>
    </cfRule>
  </conditionalFormatting>
  <conditionalFormatting sqref="E50:L50">
    <cfRule type="cellIs" dxfId="260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9034-01D2-4AFE-A4C6-60F14E8F8A46}">
  <sheetPr>
    <pageSetUpPr fitToPage="1"/>
  </sheetPr>
  <dimension ref="A1:N214"/>
  <sheetViews>
    <sheetView topLeftCell="A163" workbookViewId="0">
      <selection activeCell="J191" sqref="J191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7.85546875" style="1" customWidth="1"/>
    <col min="13" max="16384" width="11.42578125" style="1"/>
  </cols>
  <sheetData>
    <row r="1" spans="2:14" x14ac:dyDescent="0.25">
      <c r="G1" s="1" t="s">
        <v>1151</v>
      </c>
      <c r="I1" s="2" t="s">
        <v>0</v>
      </c>
      <c r="J1" s="105">
        <v>46132</v>
      </c>
      <c r="K1" s="105"/>
      <c r="L1" s="105"/>
    </row>
    <row r="2" spans="2:14" ht="16.5" thickBot="1" x14ac:dyDescent="0.3">
      <c r="G2" s="1" t="s">
        <v>1152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1153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10250</v>
      </c>
      <c r="G4" s="1" t="s">
        <v>1154</v>
      </c>
      <c r="I4" s="112" t="s">
        <v>3</v>
      </c>
      <c r="J4" s="113"/>
      <c r="K4" s="114">
        <f>E207+C15</f>
        <v>10255.75</v>
      </c>
      <c r="L4" s="115"/>
      <c r="N4" s="6"/>
    </row>
    <row r="5" spans="2:14" ht="16.5" thickBot="1" x14ac:dyDescent="0.3">
      <c r="E5" s="7" t="s">
        <v>4</v>
      </c>
      <c r="F5" s="8">
        <v>4133.3</v>
      </c>
      <c r="G5" s="1" t="s">
        <v>1155</v>
      </c>
      <c r="I5" s="95" t="s">
        <v>5</v>
      </c>
      <c r="J5" s="96"/>
      <c r="K5" s="97">
        <f>E16+E208</f>
        <v>4133.3</v>
      </c>
      <c r="L5" s="98"/>
      <c r="N5" s="6"/>
    </row>
    <row r="6" spans="2:14" ht="16.5" thickBot="1" x14ac:dyDescent="0.3">
      <c r="E6" s="9" t="s">
        <v>445</v>
      </c>
      <c r="F6" s="85">
        <v>5.75</v>
      </c>
      <c r="I6" s="95" t="s">
        <v>446</v>
      </c>
      <c r="J6" s="96"/>
      <c r="K6" s="97">
        <f>G16+E209</f>
        <v>26068.2</v>
      </c>
      <c r="L6" s="98"/>
    </row>
    <row r="7" spans="2:14" ht="16.5" thickBot="1" x14ac:dyDescent="0.3">
      <c r="I7" s="99" t="s">
        <v>6</v>
      </c>
      <c r="J7" s="100"/>
      <c r="K7" s="101">
        <f>SUM(E62:E164)</f>
        <v>269425.2900000001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1500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2500</v>
      </c>
      <c r="D10" s="19" t="s">
        <v>1146</v>
      </c>
      <c r="E10" s="49">
        <v>849.92</v>
      </c>
      <c r="F10" s="20" t="s">
        <v>9</v>
      </c>
      <c r="G10" s="21">
        <v>19916.27</v>
      </c>
      <c r="H10" s="6"/>
      <c r="I10" s="180" t="s">
        <v>1002</v>
      </c>
      <c r="J10" s="181"/>
      <c r="K10" s="182"/>
      <c r="L10" s="80">
        <v>65</v>
      </c>
    </row>
    <row r="11" spans="2:14" ht="21.6" customHeight="1" x14ac:dyDescent="0.25">
      <c r="B11" s="17" t="s">
        <v>453</v>
      </c>
      <c r="C11" s="18">
        <v>3150</v>
      </c>
      <c r="D11" s="22" t="s">
        <v>1147</v>
      </c>
      <c r="E11" s="50">
        <v>708.16</v>
      </c>
      <c r="F11" s="23" t="s">
        <v>454</v>
      </c>
      <c r="G11" s="24"/>
      <c r="H11" s="6"/>
      <c r="I11" s="140" t="s">
        <v>1172</v>
      </c>
      <c r="J11" s="141"/>
      <c r="K11" s="142"/>
      <c r="L11" s="21">
        <v>140</v>
      </c>
    </row>
    <row r="12" spans="2:14" ht="21.6" customHeight="1" x14ac:dyDescent="0.25">
      <c r="B12" s="17"/>
      <c r="C12" s="18"/>
      <c r="D12" s="22"/>
      <c r="E12" s="50"/>
      <c r="F12" s="23"/>
      <c r="G12" s="24"/>
      <c r="H12" s="6"/>
      <c r="I12" s="143" t="s">
        <v>1173</v>
      </c>
      <c r="J12" s="144"/>
      <c r="K12" s="145"/>
      <c r="L12" s="21">
        <v>20</v>
      </c>
    </row>
    <row r="13" spans="2:14" ht="21.6" customHeight="1" x14ac:dyDescent="0.25">
      <c r="B13" s="17" t="s">
        <v>455</v>
      </c>
      <c r="C13" s="18">
        <v>125</v>
      </c>
      <c r="D13" s="22"/>
      <c r="E13" s="50"/>
      <c r="F13" s="23"/>
      <c r="G13" s="24"/>
      <c r="H13" s="6"/>
      <c r="I13" s="140" t="s">
        <v>1148</v>
      </c>
      <c r="J13" s="141"/>
      <c r="K13" s="142"/>
      <c r="L13" s="24">
        <v>100</v>
      </c>
    </row>
    <row r="14" spans="2:14" ht="23.1" customHeight="1" x14ac:dyDescent="0.25">
      <c r="B14" s="17" t="s">
        <v>10</v>
      </c>
      <c r="C14" s="18"/>
      <c r="D14" s="22"/>
      <c r="E14" s="50"/>
      <c r="F14" s="23"/>
      <c r="G14" s="24"/>
      <c r="H14" s="6"/>
      <c r="I14" s="140" t="s">
        <v>1149</v>
      </c>
      <c r="J14" s="141"/>
      <c r="K14" s="142"/>
      <c r="L14" s="24">
        <v>80</v>
      </c>
    </row>
    <row r="15" spans="2:14" ht="23.85" customHeight="1" x14ac:dyDescent="0.25">
      <c r="B15" s="25" t="s">
        <v>11</v>
      </c>
      <c r="C15" s="18">
        <f>SUM(C9:C14)</f>
        <v>7275</v>
      </c>
      <c r="D15" s="22"/>
      <c r="E15" s="50"/>
      <c r="F15" s="23"/>
      <c r="G15" s="24"/>
      <c r="H15" s="6"/>
      <c r="I15" s="140" t="s">
        <v>1150</v>
      </c>
      <c r="J15" s="141"/>
      <c r="K15" s="142"/>
      <c r="L15" s="24">
        <v>850</v>
      </c>
    </row>
    <row r="16" spans="2:14" ht="24.6" customHeight="1" thickBot="1" x14ac:dyDescent="0.3">
      <c r="B16" s="26" t="s">
        <v>456</v>
      </c>
      <c r="C16" s="27">
        <v>291</v>
      </c>
      <c r="D16" s="28" t="s">
        <v>11</v>
      </c>
      <c r="E16" s="29">
        <f>SUM(E10:E15)</f>
        <v>1558.08</v>
      </c>
      <c r="F16" s="30" t="s">
        <v>11</v>
      </c>
      <c r="G16" s="31">
        <f>SUM(G10:G15)</f>
        <v>19916.27</v>
      </c>
      <c r="H16" s="6"/>
      <c r="I16" s="116" t="s">
        <v>457</v>
      </c>
      <c r="J16" s="117"/>
      <c r="K16" s="118"/>
      <c r="L16" s="32">
        <f>C16-'19'!C15</f>
        <v>291</v>
      </c>
    </row>
    <row r="17" spans="1:12" ht="16.5" thickBot="1" x14ac:dyDescent="0.3">
      <c r="D17" s="33"/>
      <c r="E17" s="33"/>
      <c r="F17" s="6"/>
      <c r="G17" s="6"/>
      <c r="I17" s="2"/>
      <c r="J17" s="2"/>
      <c r="K17" s="34" t="s">
        <v>11</v>
      </c>
      <c r="L17" s="35">
        <f>(SUM(L10:L16))*-1</f>
        <v>-1546</v>
      </c>
    </row>
    <row r="18" spans="1:12" ht="16.5" thickBot="1" x14ac:dyDescent="0.3"/>
    <row r="19" spans="1:12" ht="16.5" thickBot="1" x14ac:dyDescent="0.3">
      <c r="A19" s="119" t="s">
        <v>12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1"/>
    </row>
    <row r="20" spans="1:12" ht="16.5" thickBot="1" x14ac:dyDescent="0.3">
      <c r="A20" s="73" t="s">
        <v>458</v>
      </c>
      <c r="B20" s="122" t="s">
        <v>459</v>
      </c>
      <c r="C20" s="123"/>
      <c r="D20" s="124"/>
      <c r="E20" s="36" t="s">
        <v>8</v>
      </c>
      <c r="F20" s="37" t="s">
        <v>13</v>
      </c>
      <c r="G20" s="38" t="s">
        <v>14</v>
      </c>
      <c r="H20" s="125" t="s">
        <v>15</v>
      </c>
      <c r="I20" s="126"/>
      <c r="J20" s="126"/>
      <c r="K20" s="127"/>
      <c r="L20" s="39" t="s">
        <v>16</v>
      </c>
    </row>
    <row r="21" spans="1:12" x14ac:dyDescent="0.25">
      <c r="A21" s="66" t="s">
        <v>323</v>
      </c>
      <c r="B21" s="128" t="s">
        <v>1097</v>
      </c>
      <c r="C21" s="129"/>
      <c r="D21" s="130"/>
      <c r="E21" s="20">
        <v>169.17</v>
      </c>
      <c r="F21" s="12" t="s">
        <v>56</v>
      </c>
      <c r="G21" s="51">
        <v>6704523</v>
      </c>
      <c r="H21" s="131" t="s">
        <v>1098</v>
      </c>
      <c r="I21" s="132"/>
      <c r="J21" s="132"/>
      <c r="K21" s="133"/>
      <c r="L21" s="20" t="s">
        <v>33</v>
      </c>
    </row>
    <row r="22" spans="1:12" x14ac:dyDescent="0.25">
      <c r="A22" s="66" t="s">
        <v>1006</v>
      </c>
      <c r="B22" s="143" t="s">
        <v>1099</v>
      </c>
      <c r="C22" s="144"/>
      <c r="D22" s="145"/>
      <c r="E22" s="20">
        <v>373.43</v>
      </c>
      <c r="F22" s="23" t="s">
        <v>44</v>
      </c>
      <c r="G22" s="52">
        <v>2232929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400</v>
      </c>
      <c r="B23" s="143" t="s">
        <v>1140</v>
      </c>
      <c r="C23" s="144"/>
      <c r="D23" s="145"/>
      <c r="E23" s="20">
        <v>512.80999999999995</v>
      </c>
      <c r="F23" s="23" t="s">
        <v>242</v>
      </c>
      <c r="G23" s="52">
        <v>303</v>
      </c>
      <c r="H23" s="146"/>
      <c r="I23" s="147"/>
      <c r="J23" s="147"/>
      <c r="K23" s="148"/>
      <c r="L23" s="23" t="s">
        <v>71</v>
      </c>
    </row>
    <row r="24" spans="1:12" x14ac:dyDescent="0.25">
      <c r="A24" s="66" t="s">
        <v>1143</v>
      </c>
      <c r="B24" s="143" t="s">
        <v>1142</v>
      </c>
      <c r="C24" s="144"/>
      <c r="D24" s="145"/>
      <c r="E24" s="20">
        <v>454.75</v>
      </c>
      <c r="F24" s="23" t="s">
        <v>242</v>
      </c>
      <c r="G24" s="52">
        <v>1001959</v>
      </c>
      <c r="H24" s="146"/>
      <c r="I24" s="147"/>
      <c r="J24" s="147"/>
      <c r="K24" s="148"/>
      <c r="L24" s="23" t="s">
        <v>71</v>
      </c>
    </row>
    <row r="25" spans="1:12" x14ac:dyDescent="0.25">
      <c r="A25" s="66" t="s">
        <v>247</v>
      </c>
      <c r="B25" s="143" t="s">
        <v>1144</v>
      </c>
      <c r="C25" s="144"/>
      <c r="D25" s="145"/>
      <c r="E25" s="20">
        <v>548.07000000000005</v>
      </c>
      <c r="F25" s="23" t="s">
        <v>248</v>
      </c>
      <c r="G25" s="52">
        <v>2599553</v>
      </c>
      <c r="H25" s="146"/>
      <c r="I25" s="147"/>
      <c r="J25" s="147"/>
      <c r="K25" s="148"/>
      <c r="L25" s="23" t="s">
        <v>71</v>
      </c>
    </row>
    <row r="26" spans="1:12" x14ac:dyDescent="0.25">
      <c r="A26" s="66" t="s">
        <v>364</v>
      </c>
      <c r="B26" s="143" t="s">
        <v>1145</v>
      </c>
      <c r="C26" s="144"/>
      <c r="D26" s="145"/>
      <c r="E26" s="20">
        <v>516.99</v>
      </c>
      <c r="F26" s="23" t="s">
        <v>242</v>
      </c>
      <c r="G26" s="52">
        <v>78</v>
      </c>
      <c r="H26" s="146"/>
      <c r="I26" s="147"/>
      <c r="J26" s="147"/>
      <c r="K26" s="148"/>
      <c r="L26" s="23" t="s">
        <v>71</v>
      </c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23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x14ac:dyDescent="0.25">
      <c r="A37" s="66"/>
      <c r="B37" s="143"/>
      <c r="C37" s="144"/>
      <c r="D37" s="145"/>
      <c r="E37" s="20"/>
      <c r="F37" s="23"/>
      <c r="G37" s="52"/>
      <c r="H37" s="146"/>
      <c r="I37" s="147"/>
      <c r="J37" s="147"/>
      <c r="K37" s="148"/>
      <c r="L37" s="17"/>
    </row>
    <row r="38" spans="1:12" ht="16.5" thickBot="1" x14ac:dyDescent="0.3">
      <c r="A38" s="66"/>
      <c r="B38" s="149"/>
      <c r="C38" s="150"/>
      <c r="D38" s="151"/>
      <c r="E38" s="20"/>
      <c r="F38" s="29"/>
      <c r="G38" s="53"/>
      <c r="H38" s="152"/>
      <c r="I38" s="153"/>
      <c r="J38" s="153"/>
      <c r="K38" s="154"/>
      <c r="L38" s="29"/>
    </row>
    <row r="39" spans="1:12" ht="16.5" thickBot="1" x14ac:dyDescent="0.3">
      <c r="A39" s="72" t="s">
        <v>458</v>
      </c>
      <c r="B39" s="155" t="s">
        <v>460</v>
      </c>
      <c r="C39" s="156"/>
      <c r="D39" s="157"/>
      <c r="E39" s="36" t="s">
        <v>8</v>
      </c>
      <c r="F39" s="119" t="s">
        <v>15</v>
      </c>
      <c r="G39" s="120"/>
      <c r="H39" s="120"/>
      <c r="I39" s="120"/>
      <c r="J39" s="120"/>
      <c r="K39" s="121"/>
      <c r="L39" s="40" t="s">
        <v>16</v>
      </c>
    </row>
    <row r="40" spans="1:12" x14ac:dyDescent="0.25">
      <c r="A40" s="66" t="s">
        <v>988</v>
      </c>
      <c r="B40" s="143" t="s">
        <v>1100</v>
      </c>
      <c r="C40" s="144"/>
      <c r="D40" s="158"/>
      <c r="E40" s="43">
        <v>400</v>
      </c>
      <c r="F40" s="159" t="s">
        <v>1101</v>
      </c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51</v>
      </c>
      <c r="B41" s="143" t="s">
        <v>483</v>
      </c>
      <c r="C41" s="144"/>
      <c r="D41" s="158"/>
      <c r="E41" s="43">
        <v>399.37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 t="s">
        <v>995</v>
      </c>
      <c r="B42" s="143" t="s">
        <v>1102</v>
      </c>
      <c r="C42" s="144"/>
      <c r="D42" s="158"/>
      <c r="E42" s="43">
        <v>2181.38</v>
      </c>
      <c r="F42" s="159"/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121</v>
      </c>
      <c r="B49" s="143" t="s">
        <v>538</v>
      </c>
      <c r="C49" s="144"/>
      <c r="D49" s="158"/>
      <c r="E49" s="43">
        <v>316.89</v>
      </c>
      <c r="F49" s="159"/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 t="s">
        <v>998</v>
      </c>
      <c r="B50" s="74"/>
      <c r="C50" s="75" t="s">
        <v>1084</v>
      </c>
      <c r="D50" s="76"/>
      <c r="E50" s="43">
        <v>530.5</v>
      </c>
      <c r="F50" s="77"/>
      <c r="G50" s="78"/>
      <c r="H50" s="78"/>
      <c r="I50" s="78"/>
      <c r="J50" s="78"/>
      <c r="K50" s="79"/>
      <c r="L50" s="20" t="s">
        <v>71</v>
      </c>
    </row>
    <row r="51" spans="1:12" x14ac:dyDescent="0.25">
      <c r="A51" s="66" t="s">
        <v>433</v>
      </c>
      <c r="B51" s="74"/>
      <c r="C51" s="75" t="s">
        <v>432</v>
      </c>
      <c r="D51" s="76"/>
      <c r="E51" s="43">
        <v>1627.28</v>
      </c>
      <c r="F51" s="77"/>
      <c r="G51" s="78"/>
      <c r="H51" s="78"/>
      <c r="I51" s="78"/>
      <c r="J51" s="78"/>
      <c r="K51" s="79"/>
      <c r="L51" s="20" t="s">
        <v>71</v>
      </c>
    </row>
    <row r="52" spans="1:12" x14ac:dyDescent="0.25">
      <c r="A52" s="66" t="s">
        <v>999</v>
      </c>
      <c r="B52" s="74"/>
      <c r="C52" s="75" t="s">
        <v>1103</v>
      </c>
      <c r="D52" s="76"/>
      <c r="E52" s="43">
        <v>2637.79</v>
      </c>
      <c r="F52" s="77"/>
      <c r="G52" s="78"/>
      <c r="H52" s="78"/>
      <c r="I52" s="78"/>
      <c r="J52" s="78"/>
      <c r="K52" s="79"/>
      <c r="L52" s="20" t="s">
        <v>71</v>
      </c>
    </row>
    <row r="53" spans="1:12" x14ac:dyDescent="0.25">
      <c r="A53" s="66" t="s">
        <v>1000</v>
      </c>
      <c r="B53" s="143" t="s">
        <v>691</v>
      </c>
      <c r="C53" s="144"/>
      <c r="D53" s="158"/>
      <c r="E53" s="43">
        <v>313.76</v>
      </c>
      <c r="F53" s="159"/>
      <c r="G53" s="160"/>
      <c r="H53" s="160"/>
      <c r="I53" s="160"/>
      <c r="J53" s="160"/>
      <c r="K53" s="161"/>
      <c r="L53" s="20" t="s">
        <v>71</v>
      </c>
    </row>
    <row r="54" spans="1:12" x14ac:dyDescent="0.25">
      <c r="A54" s="66" t="s">
        <v>299</v>
      </c>
      <c r="B54" s="143" t="s">
        <v>616</v>
      </c>
      <c r="C54" s="144"/>
      <c r="D54" s="158"/>
      <c r="E54" s="43">
        <v>725.71</v>
      </c>
      <c r="F54" s="159"/>
      <c r="G54" s="160"/>
      <c r="H54" s="160"/>
      <c r="I54" s="160"/>
      <c r="J54" s="160"/>
      <c r="K54" s="161"/>
      <c r="L54" s="20" t="s">
        <v>71</v>
      </c>
    </row>
    <row r="55" spans="1:12" ht="16.5" thickBot="1" x14ac:dyDescent="0.3">
      <c r="A55" s="66"/>
      <c r="B55" s="143"/>
      <c r="C55" s="144"/>
      <c r="D55" s="158"/>
      <c r="E55" s="43"/>
      <c r="F55" s="159"/>
      <c r="G55" s="160"/>
      <c r="H55" s="160"/>
      <c r="I55" s="160"/>
      <c r="J55" s="160"/>
      <c r="K55" s="161"/>
      <c r="L55" s="20"/>
    </row>
    <row r="56" spans="1:12" ht="16.5" thickBot="1" x14ac:dyDescent="0.3">
      <c r="A56" s="71" t="s">
        <v>458</v>
      </c>
      <c r="B56" s="166" t="s">
        <v>462</v>
      </c>
      <c r="C56" s="167"/>
      <c r="D56" s="168"/>
      <c r="E56" s="36" t="s">
        <v>8</v>
      </c>
      <c r="F56" s="119" t="s">
        <v>15</v>
      </c>
      <c r="G56" s="120"/>
      <c r="H56" s="120"/>
      <c r="I56" s="120"/>
      <c r="J56" s="120"/>
      <c r="K56" s="121"/>
      <c r="L56" s="39" t="s">
        <v>16</v>
      </c>
    </row>
    <row r="57" spans="1:12" x14ac:dyDescent="0.25">
      <c r="A57" s="66"/>
      <c r="B57" s="143"/>
      <c r="C57" s="144">
        <v>802.36</v>
      </c>
      <c r="D57" s="158" t="s">
        <v>18</v>
      </c>
      <c r="E57" s="43"/>
      <c r="F57" s="163"/>
      <c r="G57" s="164"/>
      <c r="H57" s="164"/>
      <c r="I57" s="164"/>
      <c r="J57" s="164"/>
      <c r="K57" s="165"/>
      <c r="L57" s="20"/>
    </row>
    <row r="58" spans="1:12" x14ac:dyDescent="0.25">
      <c r="A58" s="66"/>
      <c r="B58" s="143"/>
      <c r="C58" s="144">
        <v>675.28</v>
      </c>
      <c r="D58" s="158" t="s">
        <v>19</v>
      </c>
      <c r="E58" s="43"/>
      <c r="F58" s="159"/>
      <c r="G58" s="160"/>
      <c r="H58" s="160"/>
      <c r="I58" s="160"/>
      <c r="J58" s="160"/>
      <c r="K58" s="161"/>
      <c r="L58" s="23"/>
    </row>
    <row r="59" spans="1:12" x14ac:dyDescent="0.25">
      <c r="A59" s="66"/>
      <c r="B59" s="143"/>
      <c r="C59" s="144">
        <v>689.72</v>
      </c>
      <c r="D59" s="158" t="s">
        <v>19</v>
      </c>
      <c r="E59" s="43"/>
      <c r="F59" s="159"/>
      <c r="G59" s="160"/>
      <c r="H59" s="160"/>
      <c r="I59" s="160"/>
      <c r="J59" s="160"/>
      <c r="K59" s="161"/>
      <c r="L59" s="23"/>
    </row>
    <row r="60" spans="1:12" ht="16.5" thickBot="1" x14ac:dyDescent="0.3">
      <c r="A60" s="66"/>
      <c r="B60" s="143"/>
      <c r="C60" s="144">
        <v>340.26</v>
      </c>
      <c r="D60" s="158" t="s">
        <v>20</v>
      </c>
      <c r="E60" s="43"/>
      <c r="F60" s="159"/>
      <c r="G60" s="160"/>
      <c r="H60" s="160"/>
      <c r="I60" s="160"/>
      <c r="J60" s="160"/>
      <c r="K60" s="161"/>
      <c r="L60" s="23"/>
    </row>
    <row r="61" spans="1:12" ht="16.5" thickBot="1" x14ac:dyDescent="0.3">
      <c r="A61" s="71" t="s">
        <v>458</v>
      </c>
      <c r="B61" s="166" t="s">
        <v>17</v>
      </c>
      <c r="C61" s="167"/>
      <c r="D61" s="168"/>
      <c r="E61" s="36" t="s">
        <v>8</v>
      </c>
      <c r="F61" s="119" t="s">
        <v>15</v>
      </c>
      <c r="G61" s="120"/>
      <c r="H61" s="120"/>
      <c r="I61" s="120"/>
      <c r="J61" s="120"/>
      <c r="K61" s="121"/>
      <c r="L61" s="39" t="s">
        <v>16</v>
      </c>
    </row>
    <row r="62" spans="1:12" x14ac:dyDescent="0.25">
      <c r="A62" s="66"/>
      <c r="B62" s="128" t="s">
        <v>800</v>
      </c>
      <c r="C62" s="129"/>
      <c r="D62" s="162"/>
      <c r="E62" s="43">
        <v>389.53</v>
      </c>
      <c r="F62" s="163"/>
      <c r="G62" s="164"/>
      <c r="H62" s="164"/>
      <c r="I62" s="164"/>
      <c r="J62" s="164"/>
      <c r="K62" s="165"/>
      <c r="L62" s="23" t="s">
        <v>33</v>
      </c>
    </row>
    <row r="63" spans="1:12" x14ac:dyDescent="0.25">
      <c r="A63" s="66"/>
      <c r="B63" s="143" t="s">
        <v>759</v>
      </c>
      <c r="C63" s="144"/>
      <c r="D63" s="158"/>
      <c r="E63" s="43">
        <v>587</v>
      </c>
      <c r="F63" s="159"/>
      <c r="G63" s="160"/>
      <c r="H63" s="160"/>
      <c r="I63" s="160"/>
      <c r="J63" s="160"/>
      <c r="K63" s="161"/>
      <c r="L63" s="44" t="s">
        <v>33</v>
      </c>
    </row>
    <row r="64" spans="1:12" x14ac:dyDescent="0.25">
      <c r="A64" s="66"/>
      <c r="B64" s="143" t="s">
        <v>556</v>
      </c>
      <c r="C64" s="144"/>
      <c r="D64" s="158"/>
      <c r="E64" s="43">
        <v>781.17</v>
      </c>
      <c r="F64" s="159"/>
      <c r="G64" s="160"/>
      <c r="H64" s="160"/>
      <c r="I64" s="160"/>
      <c r="J64" s="160"/>
      <c r="K64" s="161"/>
      <c r="L64" s="44" t="s">
        <v>33</v>
      </c>
    </row>
    <row r="65" spans="1:12" x14ac:dyDescent="0.25">
      <c r="A65" s="66"/>
      <c r="B65" s="143" t="s">
        <v>746</v>
      </c>
      <c r="C65" s="144"/>
      <c r="D65" s="158"/>
      <c r="E65" s="43">
        <v>407.12</v>
      </c>
      <c r="F65" s="159"/>
      <c r="G65" s="160"/>
      <c r="H65" s="160"/>
      <c r="I65" s="160"/>
      <c r="J65" s="160"/>
      <c r="K65" s="161"/>
      <c r="L65" s="44" t="s">
        <v>33</v>
      </c>
    </row>
    <row r="66" spans="1:12" x14ac:dyDescent="0.25">
      <c r="A66" s="66"/>
      <c r="B66" s="143" t="s">
        <v>746</v>
      </c>
      <c r="C66" s="144"/>
      <c r="D66" s="158"/>
      <c r="E66" s="43">
        <v>481.14</v>
      </c>
      <c r="F66" s="159"/>
      <c r="G66" s="160"/>
      <c r="H66" s="160"/>
      <c r="I66" s="160"/>
      <c r="J66" s="160"/>
      <c r="K66" s="161"/>
      <c r="L66" s="44" t="s">
        <v>33</v>
      </c>
    </row>
    <row r="67" spans="1:12" x14ac:dyDescent="0.25">
      <c r="A67" s="66"/>
      <c r="B67" s="143" t="s">
        <v>953</v>
      </c>
      <c r="C67" s="144"/>
      <c r="D67" s="158"/>
      <c r="E67" s="43">
        <v>326.83</v>
      </c>
      <c r="F67" s="159"/>
      <c r="G67" s="160"/>
      <c r="H67" s="160"/>
      <c r="I67" s="160"/>
      <c r="J67" s="160"/>
      <c r="K67" s="161"/>
      <c r="L67" s="44" t="s">
        <v>33</v>
      </c>
    </row>
    <row r="68" spans="1:12" x14ac:dyDescent="0.25">
      <c r="A68" s="66"/>
      <c r="B68" s="143" t="s">
        <v>556</v>
      </c>
      <c r="C68" s="144"/>
      <c r="D68" s="158"/>
      <c r="E68" s="43">
        <v>1292.18</v>
      </c>
      <c r="F68" s="159"/>
      <c r="G68" s="160"/>
      <c r="H68" s="160"/>
      <c r="I68" s="160"/>
      <c r="J68" s="160"/>
      <c r="K68" s="161"/>
      <c r="L68" s="44" t="s">
        <v>33</v>
      </c>
    </row>
    <row r="69" spans="1:12" x14ac:dyDescent="0.25">
      <c r="A69" s="66"/>
      <c r="B69" s="143" t="s">
        <v>556</v>
      </c>
      <c r="C69" s="144"/>
      <c r="D69" s="158"/>
      <c r="E69" s="43">
        <v>574.29</v>
      </c>
      <c r="F69" s="159"/>
      <c r="G69" s="160"/>
      <c r="H69" s="160"/>
      <c r="I69" s="160"/>
      <c r="J69" s="160"/>
      <c r="K69" s="161"/>
      <c r="L69" s="44" t="s">
        <v>33</v>
      </c>
    </row>
    <row r="70" spans="1:12" x14ac:dyDescent="0.25">
      <c r="A70" s="66"/>
      <c r="B70" s="143" t="s">
        <v>556</v>
      </c>
      <c r="C70" s="144"/>
      <c r="D70" s="158"/>
      <c r="E70" s="43">
        <v>958.11</v>
      </c>
      <c r="F70" s="159"/>
      <c r="G70" s="160"/>
      <c r="H70" s="160"/>
      <c r="I70" s="160"/>
      <c r="J70" s="160"/>
      <c r="K70" s="161"/>
      <c r="L70" s="44" t="s">
        <v>33</v>
      </c>
    </row>
    <row r="71" spans="1:12" x14ac:dyDescent="0.25">
      <c r="A71" s="66"/>
      <c r="B71" s="143" t="s">
        <v>1104</v>
      </c>
      <c r="C71" s="144"/>
      <c r="D71" s="158"/>
      <c r="E71" s="43">
        <v>264.64999999999998</v>
      </c>
      <c r="F71" s="159"/>
      <c r="G71" s="160"/>
      <c r="H71" s="160"/>
      <c r="I71" s="160"/>
      <c r="J71" s="160"/>
      <c r="K71" s="161"/>
      <c r="L71" s="44" t="s">
        <v>33</v>
      </c>
    </row>
    <row r="72" spans="1:12" x14ac:dyDescent="0.25">
      <c r="A72" s="66"/>
      <c r="B72" s="143" t="s">
        <v>163</v>
      </c>
      <c r="C72" s="144"/>
      <c r="D72" s="158"/>
      <c r="E72" s="43">
        <v>1223.27</v>
      </c>
      <c r="F72" s="159"/>
      <c r="G72" s="160"/>
      <c r="H72" s="160"/>
      <c r="I72" s="160"/>
      <c r="J72" s="160"/>
      <c r="K72" s="161"/>
      <c r="L72" s="44" t="s">
        <v>33</v>
      </c>
    </row>
    <row r="73" spans="1:12" x14ac:dyDescent="0.25">
      <c r="A73" s="66"/>
      <c r="B73" s="143" t="s">
        <v>927</v>
      </c>
      <c r="C73" s="144"/>
      <c r="D73" s="158"/>
      <c r="E73" s="43">
        <v>514.97</v>
      </c>
      <c r="F73" s="159"/>
      <c r="G73" s="160"/>
      <c r="H73" s="160"/>
      <c r="I73" s="160"/>
      <c r="J73" s="160"/>
      <c r="K73" s="161"/>
      <c r="L73" s="44" t="s">
        <v>33</v>
      </c>
    </row>
    <row r="74" spans="1:12" x14ac:dyDescent="0.25">
      <c r="A74" s="66"/>
      <c r="B74" s="143" t="s">
        <v>907</v>
      </c>
      <c r="C74" s="144"/>
      <c r="D74" s="158"/>
      <c r="E74" s="43">
        <v>650.66</v>
      </c>
      <c r="F74" s="159"/>
      <c r="G74" s="160"/>
      <c r="H74" s="160"/>
      <c r="I74" s="160"/>
      <c r="J74" s="160"/>
      <c r="K74" s="161"/>
      <c r="L74" s="44" t="s">
        <v>33</v>
      </c>
    </row>
    <row r="75" spans="1:12" x14ac:dyDescent="0.25">
      <c r="A75" s="66"/>
      <c r="B75" s="143" t="s">
        <v>1105</v>
      </c>
      <c r="C75" s="144"/>
      <c r="D75" s="158"/>
      <c r="E75" s="43">
        <v>197.56</v>
      </c>
      <c r="F75" s="159"/>
      <c r="G75" s="160"/>
      <c r="H75" s="160"/>
      <c r="I75" s="160"/>
      <c r="J75" s="160"/>
      <c r="K75" s="161"/>
      <c r="L75" s="44" t="s">
        <v>33</v>
      </c>
    </row>
    <row r="76" spans="1:12" x14ac:dyDescent="0.25">
      <c r="A76" s="66"/>
      <c r="B76" s="143" t="s">
        <v>736</v>
      </c>
      <c r="C76" s="144"/>
      <c r="D76" s="158"/>
      <c r="E76" s="43">
        <v>375.94</v>
      </c>
      <c r="F76" s="159"/>
      <c r="G76" s="160"/>
      <c r="H76" s="160"/>
      <c r="I76" s="160"/>
      <c r="J76" s="160"/>
      <c r="K76" s="161"/>
      <c r="L76" s="44" t="s">
        <v>33</v>
      </c>
    </row>
    <row r="77" spans="1:12" x14ac:dyDescent="0.25">
      <c r="A77" s="66"/>
      <c r="B77" s="143" t="s">
        <v>726</v>
      </c>
      <c r="C77" s="144"/>
      <c r="D77" s="158"/>
      <c r="E77" s="43">
        <v>463.18</v>
      </c>
      <c r="F77" s="159"/>
      <c r="G77" s="160"/>
      <c r="H77" s="160"/>
      <c r="I77" s="160"/>
      <c r="J77" s="160"/>
      <c r="K77" s="161"/>
      <c r="L77" s="44" t="s">
        <v>33</v>
      </c>
    </row>
    <row r="78" spans="1:12" x14ac:dyDescent="0.25">
      <c r="A78" s="66"/>
      <c r="B78" s="143" t="s">
        <v>749</v>
      </c>
      <c r="C78" s="144"/>
      <c r="D78" s="158"/>
      <c r="E78" s="43">
        <v>814.15</v>
      </c>
      <c r="F78" s="159"/>
      <c r="G78" s="160"/>
      <c r="H78" s="160"/>
      <c r="I78" s="160"/>
      <c r="J78" s="160"/>
      <c r="K78" s="161"/>
      <c r="L78" s="44" t="s">
        <v>33</v>
      </c>
    </row>
    <row r="79" spans="1:12" x14ac:dyDescent="0.25">
      <c r="A79" s="66"/>
      <c r="B79" s="143" t="s">
        <v>1106</v>
      </c>
      <c r="C79" s="144"/>
      <c r="D79" s="158"/>
      <c r="E79" s="43">
        <v>3339.45</v>
      </c>
      <c r="F79" s="159"/>
      <c r="G79" s="160"/>
      <c r="H79" s="160"/>
      <c r="I79" s="160"/>
      <c r="J79" s="160"/>
      <c r="K79" s="161"/>
      <c r="L79" s="44" t="s">
        <v>33</v>
      </c>
    </row>
    <row r="80" spans="1:12" x14ac:dyDescent="0.25">
      <c r="A80" s="66"/>
      <c r="B80" s="143" t="s">
        <v>372</v>
      </c>
      <c r="C80" s="144"/>
      <c r="D80" s="158"/>
      <c r="E80" s="43">
        <v>2478.23</v>
      </c>
      <c r="F80" s="159"/>
      <c r="G80" s="160"/>
      <c r="H80" s="160"/>
      <c r="I80" s="160"/>
      <c r="J80" s="160"/>
      <c r="K80" s="161"/>
      <c r="L80" s="44" t="s">
        <v>33</v>
      </c>
    </row>
    <row r="81" spans="1:12" x14ac:dyDescent="0.25">
      <c r="A81" s="66"/>
      <c r="B81" s="143" t="s">
        <v>738</v>
      </c>
      <c r="C81" s="144"/>
      <c r="D81" s="158"/>
      <c r="E81" s="43">
        <v>1975.85</v>
      </c>
      <c r="F81" s="159"/>
      <c r="G81" s="160"/>
      <c r="H81" s="160"/>
      <c r="I81" s="160"/>
      <c r="J81" s="160"/>
      <c r="K81" s="161"/>
      <c r="L81" s="44" t="s">
        <v>33</v>
      </c>
    </row>
    <row r="82" spans="1:12" x14ac:dyDescent="0.25">
      <c r="A82" s="66"/>
      <c r="B82" s="143" t="s">
        <v>953</v>
      </c>
      <c r="C82" s="144"/>
      <c r="D82" s="158"/>
      <c r="E82" s="43">
        <v>579.51</v>
      </c>
      <c r="F82" s="159"/>
      <c r="G82" s="160"/>
      <c r="H82" s="160"/>
      <c r="I82" s="160"/>
      <c r="J82" s="160"/>
      <c r="K82" s="161"/>
      <c r="L82" s="44" t="s">
        <v>33</v>
      </c>
    </row>
    <row r="83" spans="1:12" x14ac:dyDescent="0.25">
      <c r="A83" s="66"/>
      <c r="B83" s="143" t="s">
        <v>809</v>
      </c>
      <c r="C83" s="144"/>
      <c r="D83" s="158"/>
      <c r="E83" s="43">
        <v>288.8</v>
      </c>
      <c r="F83" s="159"/>
      <c r="G83" s="160"/>
      <c r="H83" s="160"/>
      <c r="I83" s="160"/>
      <c r="J83" s="160"/>
      <c r="K83" s="161"/>
      <c r="L83" s="44" t="s">
        <v>33</v>
      </c>
    </row>
    <row r="84" spans="1:12" x14ac:dyDescent="0.25">
      <c r="A84" s="66"/>
      <c r="B84" s="143" t="s">
        <v>890</v>
      </c>
      <c r="C84" s="144"/>
      <c r="D84" s="158"/>
      <c r="E84" s="43">
        <v>333.47</v>
      </c>
      <c r="F84" s="159"/>
      <c r="G84" s="160"/>
      <c r="H84" s="160"/>
      <c r="I84" s="160"/>
      <c r="J84" s="160"/>
      <c r="K84" s="161"/>
      <c r="L84" s="44" t="s">
        <v>33</v>
      </c>
    </row>
    <row r="85" spans="1:12" x14ac:dyDescent="0.25">
      <c r="A85" s="66"/>
      <c r="B85" s="143" t="s">
        <v>556</v>
      </c>
      <c r="C85" s="144"/>
      <c r="D85" s="158"/>
      <c r="E85" s="43">
        <v>942.07</v>
      </c>
      <c r="F85" s="159"/>
      <c r="G85" s="160"/>
      <c r="H85" s="160"/>
      <c r="I85" s="160"/>
      <c r="J85" s="160"/>
      <c r="K85" s="161"/>
      <c r="L85" s="44" t="s">
        <v>33</v>
      </c>
    </row>
    <row r="86" spans="1:12" x14ac:dyDescent="0.25">
      <c r="A86" s="66"/>
      <c r="B86" s="143" t="s">
        <v>926</v>
      </c>
      <c r="C86" s="144"/>
      <c r="D86" s="158"/>
      <c r="E86" s="43">
        <v>731.72</v>
      </c>
      <c r="F86" s="159"/>
      <c r="G86" s="160"/>
      <c r="H86" s="160"/>
      <c r="I86" s="160"/>
      <c r="J86" s="160"/>
      <c r="K86" s="161"/>
      <c r="L86" s="44" t="s">
        <v>33</v>
      </c>
    </row>
    <row r="87" spans="1:12" x14ac:dyDescent="0.25">
      <c r="A87" s="66"/>
      <c r="B87" s="143" t="s">
        <v>748</v>
      </c>
      <c r="C87" s="144"/>
      <c r="D87" s="158"/>
      <c r="E87" s="43">
        <v>7264.64</v>
      </c>
      <c r="F87" s="159"/>
      <c r="G87" s="160"/>
      <c r="H87" s="160"/>
      <c r="I87" s="160"/>
      <c r="J87" s="160"/>
      <c r="K87" s="161"/>
      <c r="L87" s="44" t="s">
        <v>33</v>
      </c>
    </row>
    <row r="88" spans="1:12" x14ac:dyDescent="0.25">
      <c r="A88" s="66"/>
      <c r="B88" s="143" t="s">
        <v>765</v>
      </c>
      <c r="C88" s="144"/>
      <c r="D88" s="158"/>
      <c r="E88" s="43">
        <v>521.15</v>
      </c>
      <c r="F88" s="159"/>
      <c r="G88" s="160"/>
      <c r="H88" s="160"/>
      <c r="I88" s="160"/>
      <c r="J88" s="160"/>
      <c r="K88" s="161"/>
      <c r="L88" s="44" t="s">
        <v>33</v>
      </c>
    </row>
    <row r="89" spans="1:12" x14ac:dyDescent="0.25">
      <c r="A89" s="66"/>
      <c r="B89" s="143" t="s">
        <v>738</v>
      </c>
      <c r="C89" s="144"/>
      <c r="D89" s="158"/>
      <c r="E89" s="43">
        <v>1080.06</v>
      </c>
      <c r="F89" s="159"/>
      <c r="G89" s="160"/>
      <c r="H89" s="160"/>
      <c r="I89" s="160"/>
      <c r="J89" s="160"/>
      <c r="K89" s="161"/>
      <c r="L89" s="44" t="s">
        <v>33</v>
      </c>
    </row>
    <row r="90" spans="1:12" x14ac:dyDescent="0.25">
      <c r="A90" s="66"/>
      <c r="B90" s="143" t="s">
        <v>749</v>
      </c>
      <c r="C90" s="144"/>
      <c r="D90" s="158"/>
      <c r="E90" s="43">
        <v>1081.52</v>
      </c>
      <c r="F90" s="159"/>
      <c r="G90" s="160"/>
      <c r="H90" s="160"/>
      <c r="I90" s="160"/>
      <c r="J90" s="160"/>
      <c r="K90" s="161"/>
      <c r="L90" s="44" t="s">
        <v>33</v>
      </c>
    </row>
    <row r="91" spans="1:12" x14ac:dyDescent="0.25">
      <c r="A91" s="66"/>
      <c r="B91" s="143" t="s">
        <v>1107</v>
      </c>
      <c r="C91" s="144"/>
      <c r="D91" s="158"/>
      <c r="E91" s="43">
        <v>3419.53</v>
      </c>
      <c r="F91" s="159"/>
      <c r="G91" s="160"/>
      <c r="H91" s="160"/>
      <c r="I91" s="160"/>
      <c r="J91" s="160"/>
      <c r="K91" s="161"/>
      <c r="L91" s="44" t="s">
        <v>33</v>
      </c>
    </row>
    <row r="92" spans="1:12" x14ac:dyDescent="0.25">
      <c r="A92" s="66"/>
      <c r="B92" s="143" t="s">
        <v>1107</v>
      </c>
      <c r="C92" s="144"/>
      <c r="D92" s="158"/>
      <c r="E92" s="43">
        <v>360</v>
      </c>
      <c r="F92" s="159"/>
      <c r="G92" s="160"/>
      <c r="H92" s="160"/>
      <c r="I92" s="160"/>
      <c r="J92" s="160"/>
      <c r="K92" s="161"/>
      <c r="L92" s="44" t="s">
        <v>33</v>
      </c>
    </row>
    <row r="93" spans="1:12" x14ac:dyDescent="0.25">
      <c r="A93" s="66"/>
      <c r="B93" s="143" t="s">
        <v>918</v>
      </c>
      <c r="C93" s="144"/>
      <c r="D93" s="158"/>
      <c r="E93" s="43">
        <v>2956.26</v>
      </c>
      <c r="F93" s="159"/>
      <c r="G93" s="160"/>
      <c r="H93" s="160"/>
      <c r="I93" s="160"/>
      <c r="J93" s="160"/>
      <c r="K93" s="161"/>
      <c r="L93" s="44" t="s">
        <v>33</v>
      </c>
    </row>
    <row r="94" spans="1:12" x14ac:dyDescent="0.25">
      <c r="A94" s="66"/>
      <c r="B94" s="143" t="s">
        <v>1108</v>
      </c>
      <c r="C94" s="144"/>
      <c r="D94" s="158"/>
      <c r="E94" s="43">
        <v>2725.01</v>
      </c>
      <c r="F94" s="159"/>
      <c r="G94" s="160"/>
      <c r="H94" s="160"/>
      <c r="I94" s="160"/>
      <c r="J94" s="160"/>
      <c r="K94" s="161"/>
      <c r="L94" s="44" t="s">
        <v>33</v>
      </c>
    </row>
    <row r="95" spans="1:12" x14ac:dyDescent="0.25">
      <c r="A95" s="66"/>
      <c r="B95" s="143" t="s">
        <v>738</v>
      </c>
      <c r="C95" s="144"/>
      <c r="D95" s="158"/>
      <c r="E95" s="43">
        <v>352.03</v>
      </c>
      <c r="F95" s="159"/>
      <c r="G95" s="160"/>
      <c r="H95" s="160"/>
      <c r="I95" s="160"/>
      <c r="J95" s="160"/>
      <c r="K95" s="161"/>
      <c r="L95" s="44" t="s">
        <v>33</v>
      </c>
    </row>
    <row r="96" spans="1:12" x14ac:dyDescent="0.25">
      <c r="A96" s="66"/>
      <c r="B96" s="143" t="s">
        <v>749</v>
      </c>
      <c r="C96" s="144"/>
      <c r="D96" s="158"/>
      <c r="E96" s="43">
        <v>1026.44</v>
      </c>
      <c r="F96" s="159"/>
      <c r="G96" s="160"/>
      <c r="H96" s="160"/>
      <c r="I96" s="160"/>
      <c r="J96" s="160"/>
      <c r="K96" s="161"/>
      <c r="L96" s="44" t="s">
        <v>33</v>
      </c>
    </row>
    <row r="97" spans="1:12" x14ac:dyDescent="0.25">
      <c r="A97" s="66"/>
      <c r="B97" s="143" t="s">
        <v>69</v>
      </c>
      <c r="C97" s="144"/>
      <c r="D97" s="158"/>
      <c r="E97" s="43">
        <v>6784.34</v>
      </c>
      <c r="F97" s="159"/>
      <c r="G97" s="160"/>
      <c r="H97" s="160"/>
      <c r="I97" s="160"/>
      <c r="J97" s="160"/>
      <c r="K97" s="161"/>
      <c r="L97" s="44" t="s">
        <v>33</v>
      </c>
    </row>
    <row r="98" spans="1:12" x14ac:dyDescent="0.25">
      <c r="A98" s="66"/>
      <c r="B98" s="143" t="s">
        <v>1109</v>
      </c>
      <c r="C98" s="144"/>
      <c r="D98" s="158"/>
      <c r="E98" s="43">
        <v>352.05</v>
      </c>
      <c r="F98" s="159"/>
      <c r="G98" s="160"/>
      <c r="H98" s="160"/>
      <c r="I98" s="160"/>
      <c r="J98" s="160"/>
      <c r="K98" s="161"/>
      <c r="L98" s="44" t="s">
        <v>33</v>
      </c>
    </row>
    <row r="99" spans="1:12" x14ac:dyDescent="0.25">
      <c r="A99" s="66"/>
      <c r="B99" s="143" t="s">
        <v>749</v>
      </c>
      <c r="C99" s="144"/>
      <c r="D99" s="158"/>
      <c r="E99" s="43">
        <v>944.17</v>
      </c>
      <c r="F99" s="159"/>
      <c r="G99" s="160"/>
      <c r="H99" s="160"/>
      <c r="I99" s="160"/>
      <c r="J99" s="160"/>
      <c r="K99" s="161"/>
      <c r="L99" s="44" t="s">
        <v>33</v>
      </c>
    </row>
    <row r="100" spans="1:12" x14ac:dyDescent="0.25">
      <c r="A100" s="66"/>
      <c r="B100" s="143" t="s">
        <v>1110</v>
      </c>
      <c r="C100" s="144"/>
      <c r="D100" s="158"/>
      <c r="E100" s="43">
        <v>823.51</v>
      </c>
      <c r="F100" s="159"/>
      <c r="G100" s="160"/>
      <c r="H100" s="160"/>
      <c r="I100" s="160"/>
      <c r="J100" s="160"/>
      <c r="K100" s="161"/>
      <c r="L100" s="44" t="s">
        <v>33</v>
      </c>
    </row>
    <row r="101" spans="1:12" x14ac:dyDescent="0.25">
      <c r="A101" s="66"/>
      <c r="B101" s="143" t="s">
        <v>113</v>
      </c>
      <c r="C101" s="144"/>
      <c r="D101" s="158"/>
      <c r="E101" s="43">
        <v>1897.48</v>
      </c>
      <c r="F101" s="159"/>
      <c r="G101" s="160"/>
      <c r="H101" s="160"/>
      <c r="I101" s="160"/>
      <c r="J101" s="160"/>
      <c r="K101" s="161"/>
      <c r="L101" s="44" t="s">
        <v>33</v>
      </c>
    </row>
    <row r="102" spans="1:12" x14ac:dyDescent="0.25">
      <c r="A102" s="66"/>
      <c r="B102" s="143" t="s">
        <v>1111</v>
      </c>
      <c r="C102" s="144"/>
      <c r="D102" s="158"/>
      <c r="E102" s="43">
        <v>353.02</v>
      </c>
      <c r="F102" s="159"/>
      <c r="G102" s="160"/>
      <c r="H102" s="160"/>
      <c r="I102" s="160"/>
      <c r="J102" s="160"/>
      <c r="K102" s="161"/>
      <c r="L102" s="44" t="s">
        <v>33</v>
      </c>
    </row>
    <row r="103" spans="1:12" x14ac:dyDescent="0.25">
      <c r="A103" s="66"/>
      <c r="B103" s="143" t="s">
        <v>733</v>
      </c>
      <c r="C103" s="144"/>
      <c r="D103" s="158"/>
      <c r="E103" s="43">
        <v>301.31</v>
      </c>
      <c r="F103" s="159"/>
      <c r="G103" s="160"/>
      <c r="H103" s="160"/>
      <c r="I103" s="160"/>
      <c r="J103" s="160"/>
      <c r="K103" s="161"/>
      <c r="L103" s="44" t="s">
        <v>33</v>
      </c>
    </row>
    <row r="104" spans="1:12" x14ac:dyDescent="0.25">
      <c r="A104" s="66"/>
      <c r="B104" s="143" t="s">
        <v>844</v>
      </c>
      <c r="C104" s="144"/>
      <c r="D104" s="158"/>
      <c r="E104" s="43">
        <v>3430.17</v>
      </c>
      <c r="F104" s="159"/>
      <c r="G104" s="160"/>
      <c r="H104" s="160"/>
      <c r="I104" s="160"/>
      <c r="J104" s="160"/>
      <c r="K104" s="161"/>
      <c r="L104" s="44" t="s">
        <v>33</v>
      </c>
    </row>
    <row r="105" spans="1:12" x14ac:dyDescent="0.25">
      <c r="A105" s="66"/>
      <c r="B105" s="143" t="s">
        <v>1126</v>
      </c>
      <c r="C105" s="144"/>
      <c r="D105" s="158"/>
      <c r="E105" s="43">
        <v>2755.5</v>
      </c>
      <c r="F105" s="159"/>
      <c r="G105" s="160"/>
      <c r="H105" s="160"/>
      <c r="I105" s="160"/>
      <c r="J105" s="160"/>
      <c r="K105" s="161"/>
      <c r="L105" s="44" t="s">
        <v>33</v>
      </c>
    </row>
    <row r="106" spans="1:12" x14ac:dyDescent="0.25">
      <c r="A106" s="66"/>
      <c r="B106" s="143" t="s">
        <v>749</v>
      </c>
      <c r="C106" s="144"/>
      <c r="D106" s="158"/>
      <c r="E106" s="43">
        <v>1220.69</v>
      </c>
      <c r="F106" s="159"/>
      <c r="G106" s="160"/>
      <c r="H106" s="160"/>
      <c r="I106" s="160"/>
      <c r="J106" s="160"/>
      <c r="K106" s="161"/>
      <c r="L106" s="44" t="s">
        <v>33</v>
      </c>
    </row>
    <row r="107" spans="1:12" x14ac:dyDescent="0.25">
      <c r="A107" s="66"/>
      <c r="B107" s="143" t="s">
        <v>1112</v>
      </c>
      <c r="C107" s="144"/>
      <c r="D107" s="158"/>
      <c r="E107" s="43">
        <v>2277.96</v>
      </c>
      <c r="F107" s="159"/>
      <c r="G107" s="160"/>
      <c r="H107" s="160"/>
      <c r="I107" s="160"/>
      <c r="J107" s="160"/>
      <c r="K107" s="161"/>
      <c r="L107" s="44" t="s">
        <v>33</v>
      </c>
    </row>
    <row r="108" spans="1:12" x14ac:dyDescent="0.25">
      <c r="A108" s="66"/>
      <c r="B108" s="143" t="s">
        <v>764</v>
      </c>
      <c r="C108" s="144"/>
      <c r="D108" s="158"/>
      <c r="E108" s="43">
        <v>458.13</v>
      </c>
      <c r="F108" s="159"/>
      <c r="G108" s="160"/>
      <c r="H108" s="160"/>
      <c r="I108" s="160"/>
      <c r="J108" s="160"/>
      <c r="K108" s="161"/>
      <c r="L108" s="44" t="s">
        <v>33</v>
      </c>
    </row>
    <row r="109" spans="1:12" x14ac:dyDescent="0.25">
      <c r="A109" s="66"/>
      <c r="B109" s="143" t="s">
        <v>927</v>
      </c>
      <c r="C109" s="144"/>
      <c r="D109" s="158"/>
      <c r="E109" s="43">
        <v>484.6</v>
      </c>
      <c r="F109" s="159"/>
      <c r="G109" s="160"/>
      <c r="H109" s="160"/>
      <c r="I109" s="160"/>
      <c r="J109" s="160"/>
      <c r="K109" s="161"/>
      <c r="L109" s="44" t="s">
        <v>33</v>
      </c>
    </row>
    <row r="110" spans="1:12" x14ac:dyDescent="0.25">
      <c r="A110" s="66"/>
      <c r="B110" s="143" t="s">
        <v>1127</v>
      </c>
      <c r="C110" s="144"/>
      <c r="D110" s="158"/>
      <c r="E110" s="43">
        <v>3892.53</v>
      </c>
      <c r="F110" s="159"/>
      <c r="G110" s="160"/>
      <c r="H110" s="160"/>
      <c r="I110" s="160"/>
      <c r="J110" s="160"/>
      <c r="K110" s="161"/>
      <c r="L110" s="44" t="s">
        <v>33</v>
      </c>
    </row>
    <row r="111" spans="1:12" x14ac:dyDescent="0.25">
      <c r="A111" s="66"/>
      <c r="B111" s="143" t="s">
        <v>953</v>
      </c>
      <c r="C111" s="144"/>
      <c r="D111" s="158"/>
      <c r="E111" s="43">
        <v>531.66</v>
      </c>
      <c r="F111" s="159"/>
      <c r="G111" s="160"/>
      <c r="H111" s="160"/>
      <c r="I111" s="160"/>
      <c r="J111" s="160"/>
      <c r="K111" s="161"/>
      <c r="L111" s="44" t="s">
        <v>33</v>
      </c>
    </row>
    <row r="112" spans="1:12" x14ac:dyDescent="0.25">
      <c r="A112" s="66"/>
      <c r="B112" s="143" t="s">
        <v>1113</v>
      </c>
      <c r="C112" s="144"/>
      <c r="D112" s="158"/>
      <c r="E112" s="43">
        <v>478.75</v>
      </c>
      <c r="F112" s="159"/>
      <c r="G112" s="160"/>
      <c r="H112" s="160"/>
      <c r="I112" s="160"/>
      <c r="J112" s="160"/>
      <c r="K112" s="161"/>
      <c r="L112" s="44" t="s">
        <v>33</v>
      </c>
    </row>
    <row r="113" spans="1:12" x14ac:dyDescent="0.25">
      <c r="A113" s="66"/>
      <c r="B113" s="143" t="s">
        <v>732</v>
      </c>
      <c r="C113" s="144"/>
      <c r="D113" s="158"/>
      <c r="E113" s="43">
        <v>191.64</v>
      </c>
      <c r="F113" s="159"/>
      <c r="G113" s="160"/>
      <c r="H113" s="160"/>
      <c r="I113" s="160"/>
      <c r="J113" s="160"/>
      <c r="K113" s="161"/>
      <c r="L113" s="44" t="s">
        <v>33</v>
      </c>
    </row>
    <row r="114" spans="1:12" x14ac:dyDescent="0.25">
      <c r="A114" s="66"/>
      <c r="B114" s="143" t="s">
        <v>1127</v>
      </c>
      <c r="C114" s="144"/>
      <c r="D114" s="158"/>
      <c r="E114" s="43">
        <v>1413.53</v>
      </c>
      <c r="F114" s="159"/>
      <c r="G114" s="160"/>
      <c r="H114" s="160"/>
      <c r="I114" s="160"/>
      <c r="J114" s="160"/>
      <c r="K114" s="161"/>
      <c r="L114" s="44" t="s">
        <v>33</v>
      </c>
    </row>
    <row r="115" spans="1:12" x14ac:dyDescent="0.25">
      <c r="A115" s="66"/>
      <c r="B115" s="143" t="s">
        <v>1083</v>
      </c>
      <c r="C115" s="144"/>
      <c r="D115" s="158"/>
      <c r="E115" s="43">
        <v>366.91</v>
      </c>
      <c r="F115" s="159"/>
      <c r="G115" s="160"/>
      <c r="H115" s="160"/>
      <c r="I115" s="160"/>
      <c r="J115" s="160"/>
      <c r="K115" s="161"/>
      <c r="L115" s="44" t="s">
        <v>33</v>
      </c>
    </row>
    <row r="116" spans="1:12" x14ac:dyDescent="0.25">
      <c r="A116" s="66"/>
      <c r="B116" s="143" t="s">
        <v>172</v>
      </c>
      <c r="C116" s="144"/>
      <c r="D116" s="158"/>
      <c r="E116" s="43">
        <v>4100.08</v>
      </c>
      <c r="F116" s="159"/>
      <c r="G116" s="160"/>
      <c r="H116" s="160"/>
      <c r="I116" s="160"/>
      <c r="J116" s="160"/>
      <c r="K116" s="161"/>
      <c r="L116" s="44" t="s">
        <v>33</v>
      </c>
    </row>
    <row r="117" spans="1:12" x14ac:dyDescent="0.25">
      <c r="A117" s="66"/>
      <c r="B117" s="143" t="s">
        <v>1114</v>
      </c>
      <c r="C117" s="144"/>
      <c r="D117" s="158"/>
      <c r="E117" s="43">
        <v>1370.13</v>
      </c>
      <c r="F117" s="159"/>
      <c r="G117" s="160"/>
      <c r="H117" s="160"/>
      <c r="I117" s="160"/>
      <c r="J117" s="160"/>
      <c r="K117" s="161"/>
      <c r="L117" s="44" t="s">
        <v>33</v>
      </c>
    </row>
    <row r="118" spans="1:12" x14ac:dyDescent="0.25">
      <c r="A118" s="66"/>
      <c r="B118" s="143" t="s">
        <v>908</v>
      </c>
      <c r="C118" s="144"/>
      <c r="D118" s="158"/>
      <c r="E118" s="43">
        <v>497.83</v>
      </c>
      <c r="F118" s="159"/>
      <c r="G118" s="160"/>
      <c r="H118" s="160"/>
      <c r="I118" s="160"/>
      <c r="J118" s="160"/>
      <c r="K118" s="161"/>
      <c r="L118" s="44" t="s">
        <v>33</v>
      </c>
    </row>
    <row r="119" spans="1:12" x14ac:dyDescent="0.25">
      <c r="A119" s="66"/>
      <c r="B119" s="143" t="s">
        <v>1128</v>
      </c>
      <c r="C119" s="144"/>
      <c r="D119" s="158"/>
      <c r="E119" s="43">
        <v>1109.6600000000001</v>
      </c>
      <c r="F119" s="159"/>
      <c r="G119" s="160"/>
      <c r="H119" s="160"/>
      <c r="I119" s="160"/>
      <c r="J119" s="160"/>
      <c r="K119" s="161"/>
      <c r="L119" s="44" t="s">
        <v>33</v>
      </c>
    </row>
    <row r="120" spans="1:12" x14ac:dyDescent="0.25">
      <c r="A120" s="66"/>
      <c r="B120" s="143" t="s">
        <v>779</v>
      </c>
      <c r="C120" s="144"/>
      <c r="D120" s="158"/>
      <c r="E120" s="43">
        <v>339.22</v>
      </c>
      <c r="F120" s="159"/>
      <c r="G120" s="160"/>
      <c r="H120" s="160"/>
      <c r="I120" s="160"/>
      <c r="J120" s="160"/>
      <c r="K120" s="161"/>
      <c r="L120" s="44" t="s">
        <v>33</v>
      </c>
    </row>
    <row r="121" spans="1:12" x14ac:dyDescent="0.25">
      <c r="A121" s="66"/>
      <c r="B121" s="143" t="s">
        <v>736</v>
      </c>
      <c r="C121" s="144"/>
      <c r="D121" s="158"/>
      <c r="E121" s="43">
        <v>168.69</v>
      </c>
      <c r="F121" s="159"/>
      <c r="G121" s="160"/>
      <c r="H121" s="160"/>
      <c r="I121" s="160"/>
      <c r="J121" s="160"/>
      <c r="K121" s="161"/>
      <c r="L121" s="44" t="s">
        <v>33</v>
      </c>
    </row>
    <row r="122" spans="1:12" x14ac:dyDescent="0.25">
      <c r="A122" s="66"/>
      <c r="B122" s="143" t="s">
        <v>732</v>
      </c>
      <c r="C122" s="144"/>
      <c r="D122" s="158"/>
      <c r="E122" s="43">
        <v>236.72</v>
      </c>
      <c r="F122" s="159"/>
      <c r="G122" s="160"/>
      <c r="H122" s="160"/>
      <c r="I122" s="160"/>
      <c r="J122" s="160"/>
      <c r="K122" s="161"/>
      <c r="L122" s="44" t="s">
        <v>33</v>
      </c>
    </row>
    <row r="123" spans="1:12" x14ac:dyDescent="0.25">
      <c r="A123" s="66"/>
      <c r="B123" s="143" t="s">
        <v>895</v>
      </c>
      <c r="C123" s="144"/>
      <c r="D123" s="158"/>
      <c r="E123" s="43">
        <v>393.29</v>
      </c>
      <c r="F123" s="159"/>
      <c r="G123" s="160"/>
      <c r="H123" s="160"/>
      <c r="I123" s="160"/>
      <c r="J123" s="160"/>
      <c r="K123" s="161"/>
      <c r="L123" s="44" t="s">
        <v>33</v>
      </c>
    </row>
    <row r="124" spans="1:12" x14ac:dyDescent="0.25">
      <c r="A124" s="66"/>
      <c r="B124" s="143" t="s">
        <v>927</v>
      </c>
      <c r="C124" s="144"/>
      <c r="D124" s="158"/>
      <c r="E124" s="43">
        <v>441.44</v>
      </c>
      <c r="F124" s="159"/>
      <c r="G124" s="160"/>
      <c r="H124" s="160"/>
      <c r="I124" s="160"/>
      <c r="J124" s="160"/>
      <c r="K124" s="161"/>
      <c r="L124" s="44" t="s">
        <v>33</v>
      </c>
    </row>
    <row r="125" spans="1:12" x14ac:dyDescent="0.25">
      <c r="A125" s="66"/>
      <c r="B125" s="143" t="s">
        <v>737</v>
      </c>
      <c r="C125" s="144"/>
      <c r="D125" s="158"/>
      <c r="E125" s="43">
        <v>338.88</v>
      </c>
      <c r="F125" s="159"/>
      <c r="G125" s="160"/>
      <c r="H125" s="160"/>
      <c r="I125" s="160"/>
      <c r="J125" s="160"/>
      <c r="K125" s="161"/>
      <c r="L125" s="44" t="s">
        <v>33</v>
      </c>
    </row>
    <row r="126" spans="1:12" x14ac:dyDescent="0.25">
      <c r="A126" s="66"/>
      <c r="B126" s="143" t="s">
        <v>654</v>
      </c>
      <c r="C126" s="144"/>
      <c r="D126" s="158"/>
      <c r="E126" s="43">
        <v>2523.35</v>
      </c>
      <c r="F126" s="159"/>
      <c r="G126" s="160"/>
      <c r="H126" s="160"/>
      <c r="I126" s="160"/>
      <c r="J126" s="160"/>
      <c r="K126" s="161"/>
      <c r="L126" s="44" t="s">
        <v>33</v>
      </c>
    </row>
    <row r="127" spans="1:12" x14ac:dyDescent="0.25">
      <c r="A127" s="66"/>
      <c r="B127" s="143" t="s">
        <v>746</v>
      </c>
      <c r="C127" s="144"/>
      <c r="D127" s="158"/>
      <c r="E127" s="43">
        <v>442.82</v>
      </c>
      <c r="F127" s="159"/>
      <c r="G127" s="160"/>
      <c r="H127" s="160"/>
      <c r="I127" s="160"/>
      <c r="J127" s="160"/>
      <c r="K127" s="161"/>
      <c r="L127" s="44" t="s">
        <v>33</v>
      </c>
    </row>
    <row r="128" spans="1:12" x14ac:dyDescent="0.25">
      <c r="A128" s="66"/>
      <c r="B128" s="143" t="s">
        <v>651</v>
      </c>
      <c r="C128" s="144"/>
      <c r="D128" s="158"/>
      <c r="E128" s="43">
        <v>1511.68</v>
      </c>
      <c r="F128" s="159"/>
      <c r="G128" s="160"/>
      <c r="H128" s="160"/>
      <c r="I128" s="160"/>
      <c r="J128" s="160"/>
      <c r="K128" s="161"/>
      <c r="L128" s="44" t="s">
        <v>33</v>
      </c>
    </row>
    <row r="129" spans="1:12" x14ac:dyDescent="0.25">
      <c r="A129" s="66"/>
      <c r="B129" s="143" t="s">
        <v>761</v>
      </c>
      <c r="C129" s="144"/>
      <c r="D129" s="158"/>
      <c r="E129" s="43">
        <v>276.81</v>
      </c>
      <c r="F129" s="159"/>
      <c r="G129" s="160"/>
      <c r="H129" s="160"/>
      <c r="I129" s="160"/>
      <c r="J129" s="160"/>
      <c r="K129" s="161"/>
      <c r="L129" s="44" t="s">
        <v>33</v>
      </c>
    </row>
    <row r="130" spans="1:12" x14ac:dyDescent="0.25">
      <c r="A130" s="66"/>
      <c r="B130" s="143" t="s">
        <v>1115</v>
      </c>
      <c r="C130" s="144"/>
      <c r="D130" s="158"/>
      <c r="E130" s="43">
        <v>276.27</v>
      </c>
      <c r="F130" s="159"/>
      <c r="G130" s="160"/>
      <c r="H130" s="160"/>
      <c r="I130" s="160"/>
      <c r="J130" s="160"/>
      <c r="K130" s="161"/>
      <c r="L130" s="44" t="s">
        <v>33</v>
      </c>
    </row>
    <row r="131" spans="1:12" x14ac:dyDescent="0.25">
      <c r="A131" s="66"/>
      <c r="B131" s="143" t="s">
        <v>1115</v>
      </c>
      <c r="C131" s="144"/>
      <c r="D131" s="158"/>
      <c r="E131" s="43">
        <v>472.69</v>
      </c>
      <c r="F131" s="159"/>
      <c r="G131" s="160"/>
      <c r="H131" s="160"/>
      <c r="I131" s="160"/>
      <c r="J131" s="160"/>
      <c r="K131" s="161"/>
      <c r="L131" s="44" t="s">
        <v>33</v>
      </c>
    </row>
    <row r="132" spans="1:12" x14ac:dyDescent="0.25">
      <c r="A132" s="66"/>
      <c r="B132" s="143" t="s">
        <v>1115</v>
      </c>
      <c r="C132" s="144"/>
      <c r="D132" s="158"/>
      <c r="E132" s="43">
        <v>404.74</v>
      </c>
      <c r="F132" s="159"/>
      <c r="G132" s="160"/>
      <c r="H132" s="160"/>
      <c r="I132" s="160"/>
      <c r="J132" s="160"/>
      <c r="K132" s="161"/>
      <c r="L132" s="44" t="s">
        <v>33</v>
      </c>
    </row>
    <row r="133" spans="1:12" x14ac:dyDescent="0.25">
      <c r="A133" s="66"/>
      <c r="B133" s="143" t="s">
        <v>771</v>
      </c>
      <c r="C133" s="144"/>
      <c r="D133" s="158"/>
      <c r="E133" s="43">
        <v>314.13</v>
      </c>
      <c r="F133" s="159"/>
      <c r="G133" s="160"/>
      <c r="H133" s="160"/>
      <c r="I133" s="160"/>
      <c r="J133" s="160"/>
      <c r="K133" s="161"/>
      <c r="L133" s="44" t="s">
        <v>33</v>
      </c>
    </row>
    <row r="134" spans="1:12" x14ac:dyDescent="0.25">
      <c r="A134" s="66"/>
      <c r="B134" s="143" t="s">
        <v>1116</v>
      </c>
      <c r="C134" s="144"/>
      <c r="D134" s="158"/>
      <c r="E134" s="43">
        <v>293.02999999999997</v>
      </c>
      <c r="F134" s="159"/>
      <c r="G134" s="160"/>
      <c r="H134" s="160"/>
      <c r="I134" s="160"/>
      <c r="J134" s="160"/>
      <c r="K134" s="161"/>
      <c r="L134" s="44" t="s">
        <v>33</v>
      </c>
    </row>
    <row r="135" spans="1:12" x14ac:dyDescent="0.25">
      <c r="A135" s="66"/>
      <c r="B135" s="143" t="s">
        <v>654</v>
      </c>
      <c r="C135" s="144"/>
      <c r="D135" s="158"/>
      <c r="E135" s="43">
        <v>2540</v>
      </c>
      <c r="F135" s="159"/>
      <c r="G135" s="160"/>
      <c r="H135" s="160"/>
      <c r="I135" s="160"/>
      <c r="J135" s="160"/>
      <c r="K135" s="161"/>
      <c r="L135" s="44" t="s">
        <v>33</v>
      </c>
    </row>
    <row r="136" spans="1:12" x14ac:dyDescent="0.25">
      <c r="A136" s="66"/>
      <c r="B136" s="143" t="s">
        <v>927</v>
      </c>
      <c r="C136" s="144"/>
      <c r="D136" s="158"/>
      <c r="E136" s="43">
        <v>22.08</v>
      </c>
      <c r="F136" s="159"/>
      <c r="G136" s="160"/>
      <c r="H136" s="160"/>
      <c r="I136" s="160"/>
      <c r="J136" s="160"/>
      <c r="K136" s="161"/>
      <c r="L136" s="44" t="s">
        <v>33</v>
      </c>
    </row>
    <row r="137" spans="1:12" x14ac:dyDescent="0.25">
      <c r="A137" s="66"/>
      <c r="B137" s="143" t="s">
        <v>649</v>
      </c>
      <c r="C137" s="144"/>
      <c r="D137" s="158"/>
      <c r="E137" s="43">
        <v>404.32</v>
      </c>
      <c r="F137" s="159"/>
      <c r="G137" s="160"/>
      <c r="H137" s="160"/>
      <c r="I137" s="160"/>
      <c r="J137" s="160"/>
      <c r="K137" s="161"/>
      <c r="L137" s="44" t="s">
        <v>33</v>
      </c>
    </row>
    <row r="138" spans="1:12" x14ac:dyDescent="0.25">
      <c r="A138" s="66"/>
      <c r="B138" s="143" t="s">
        <v>780</v>
      </c>
      <c r="C138" s="144"/>
      <c r="D138" s="158"/>
      <c r="E138" s="43">
        <v>1307.83</v>
      </c>
      <c r="F138" s="159"/>
      <c r="G138" s="160"/>
      <c r="H138" s="160"/>
      <c r="I138" s="160"/>
      <c r="J138" s="160"/>
      <c r="K138" s="161"/>
      <c r="L138" s="44" t="s">
        <v>33</v>
      </c>
    </row>
    <row r="139" spans="1:12" x14ac:dyDescent="0.25">
      <c r="A139" s="66"/>
      <c r="B139" s="143" t="s">
        <v>785</v>
      </c>
      <c r="C139" s="144"/>
      <c r="D139" s="158"/>
      <c r="E139" s="43">
        <v>624.70000000000005</v>
      </c>
      <c r="F139" s="159"/>
      <c r="G139" s="160"/>
      <c r="H139" s="160"/>
      <c r="I139" s="160"/>
      <c r="J139" s="160"/>
      <c r="K139" s="161"/>
      <c r="L139" s="44" t="s">
        <v>33</v>
      </c>
    </row>
    <row r="140" spans="1:12" x14ac:dyDescent="0.25">
      <c r="A140" s="66"/>
      <c r="B140" s="143" t="s">
        <v>736</v>
      </c>
      <c r="C140" s="144"/>
      <c r="D140" s="158"/>
      <c r="E140" s="43">
        <v>332.33</v>
      </c>
      <c r="F140" s="159"/>
      <c r="G140" s="160"/>
      <c r="H140" s="160"/>
      <c r="I140" s="160"/>
      <c r="J140" s="160"/>
      <c r="K140" s="161"/>
      <c r="L140" s="44" t="s">
        <v>33</v>
      </c>
    </row>
    <row r="141" spans="1:12" x14ac:dyDescent="0.25">
      <c r="A141" s="66"/>
      <c r="B141" s="143" t="s">
        <v>1115</v>
      </c>
      <c r="C141" s="144"/>
      <c r="D141" s="158"/>
      <c r="E141" s="43">
        <v>204.52</v>
      </c>
      <c r="F141" s="159"/>
      <c r="G141" s="160"/>
      <c r="H141" s="160"/>
      <c r="I141" s="160"/>
      <c r="J141" s="160"/>
      <c r="K141" s="161"/>
      <c r="L141" s="44" t="s">
        <v>33</v>
      </c>
    </row>
    <row r="142" spans="1:12" x14ac:dyDescent="0.25">
      <c r="A142" s="66"/>
      <c r="B142" s="143" t="s">
        <v>699</v>
      </c>
      <c r="C142" s="144"/>
      <c r="D142" s="158"/>
      <c r="E142" s="43">
        <v>1538.87</v>
      </c>
      <c r="F142" s="159"/>
      <c r="G142" s="160"/>
      <c r="H142" s="160"/>
      <c r="I142" s="160"/>
      <c r="J142" s="160"/>
      <c r="K142" s="161"/>
      <c r="L142" s="44" t="s">
        <v>33</v>
      </c>
    </row>
    <row r="143" spans="1:12" x14ac:dyDescent="0.25">
      <c r="A143" s="66"/>
      <c r="B143" s="143" t="s">
        <v>751</v>
      </c>
      <c r="C143" s="144"/>
      <c r="D143" s="158"/>
      <c r="E143" s="43">
        <v>2024.1</v>
      </c>
      <c r="F143" s="159"/>
      <c r="G143" s="160"/>
      <c r="H143" s="160"/>
      <c r="I143" s="160"/>
      <c r="J143" s="160"/>
      <c r="K143" s="161"/>
      <c r="L143" s="44" t="s">
        <v>33</v>
      </c>
    </row>
    <row r="144" spans="1:12" x14ac:dyDescent="0.25">
      <c r="A144" s="66"/>
      <c r="B144" s="143" t="s">
        <v>729</v>
      </c>
      <c r="C144" s="144"/>
      <c r="D144" s="158"/>
      <c r="E144" s="43">
        <v>418.12</v>
      </c>
      <c r="F144" s="159"/>
      <c r="G144" s="160"/>
      <c r="H144" s="160"/>
      <c r="I144" s="160"/>
      <c r="J144" s="160"/>
      <c r="K144" s="161"/>
      <c r="L144" s="44" t="s">
        <v>33</v>
      </c>
    </row>
    <row r="145" spans="1:12" x14ac:dyDescent="0.25">
      <c r="A145" s="66"/>
      <c r="B145" s="143" t="s">
        <v>916</v>
      </c>
      <c r="C145" s="144"/>
      <c r="D145" s="158"/>
      <c r="E145" s="43">
        <v>1651.28</v>
      </c>
      <c r="F145" s="159"/>
      <c r="G145" s="160"/>
      <c r="H145" s="160"/>
      <c r="I145" s="160"/>
      <c r="J145" s="160"/>
      <c r="K145" s="161"/>
      <c r="L145" s="44" t="s">
        <v>33</v>
      </c>
    </row>
    <row r="146" spans="1:12" x14ac:dyDescent="0.25">
      <c r="A146" s="66"/>
      <c r="B146" s="143" t="s">
        <v>784</v>
      </c>
      <c r="C146" s="144"/>
      <c r="D146" s="158"/>
      <c r="E146" s="43">
        <v>244.33</v>
      </c>
      <c r="F146" s="159"/>
      <c r="G146" s="160"/>
      <c r="H146" s="160"/>
      <c r="I146" s="160"/>
      <c r="J146" s="160"/>
      <c r="K146" s="161"/>
      <c r="L146" s="44" t="s">
        <v>33</v>
      </c>
    </row>
    <row r="147" spans="1:12" x14ac:dyDescent="0.25">
      <c r="A147" s="66"/>
      <c r="B147" s="143" t="s">
        <v>909</v>
      </c>
      <c r="C147" s="144"/>
      <c r="D147" s="158"/>
      <c r="E147" s="43">
        <v>628.84</v>
      </c>
      <c r="F147" s="159"/>
      <c r="G147" s="160"/>
      <c r="H147" s="160"/>
      <c r="I147" s="160"/>
      <c r="J147" s="160"/>
      <c r="K147" s="161"/>
      <c r="L147" s="44" t="s">
        <v>33</v>
      </c>
    </row>
    <row r="148" spans="1:12" x14ac:dyDescent="0.25">
      <c r="A148" s="66"/>
      <c r="B148" s="143" t="s">
        <v>1129</v>
      </c>
      <c r="C148" s="144"/>
      <c r="D148" s="158"/>
      <c r="E148" s="43">
        <v>10124.959999999999</v>
      </c>
      <c r="F148" s="159"/>
      <c r="G148" s="160"/>
      <c r="H148" s="160"/>
      <c r="I148" s="160"/>
      <c r="J148" s="160"/>
      <c r="K148" s="161"/>
      <c r="L148" s="44" t="s">
        <v>33</v>
      </c>
    </row>
    <row r="149" spans="1:12" x14ac:dyDescent="0.25">
      <c r="A149" s="66"/>
      <c r="B149" s="143" t="s">
        <v>1130</v>
      </c>
      <c r="C149" s="144"/>
      <c r="D149" s="158"/>
      <c r="E149" s="43">
        <v>3014.56</v>
      </c>
      <c r="F149" s="159"/>
      <c r="G149" s="160"/>
      <c r="H149" s="160"/>
      <c r="I149" s="160"/>
      <c r="J149" s="160"/>
      <c r="K149" s="161"/>
      <c r="L149" s="44" t="s">
        <v>33</v>
      </c>
    </row>
    <row r="150" spans="1:12" x14ac:dyDescent="0.25">
      <c r="A150" s="66"/>
      <c r="B150" s="143" t="s">
        <v>1117</v>
      </c>
      <c r="C150" s="144"/>
      <c r="D150" s="158"/>
      <c r="E150" s="43">
        <v>1345.6</v>
      </c>
      <c r="F150" s="159"/>
      <c r="G150" s="160"/>
      <c r="H150" s="160"/>
      <c r="I150" s="160"/>
      <c r="J150" s="160"/>
      <c r="K150" s="161"/>
      <c r="L150" s="44" t="s">
        <v>33</v>
      </c>
    </row>
    <row r="151" spans="1:12" x14ac:dyDescent="0.25">
      <c r="A151" s="66"/>
      <c r="B151" s="143" t="s">
        <v>165</v>
      </c>
      <c r="C151" s="144"/>
      <c r="D151" s="158"/>
      <c r="E151" s="43">
        <v>2734.97</v>
      </c>
      <c r="F151" s="159"/>
      <c r="G151" s="160"/>
      <c r="H151" s="160"/>
      <c r="I151" s="160"/>
      <c r="J151" s="160"/>
      <c r="K151" s="161"/>
      <c r="L151" s="44" t="s">
        <v>33</v>
      </c>
    </row>
    <row r="152" spans="1:12" x14ac:dyDescent="0.25">
      <c r="A152" s="66"/>
      <c r="B152" s="143" t="s">
        <v>731</v>
      </c>
      <c r="C152" s="144"/>
      <c r="D152" s="158"/>
      <c r="E152" s="43">
        <v>5460.92</v>
      </c>
      <c r="F152" s="159"/>
      <c r="G152" s="160"/>
      <c r="H152" s="160"/>
      <c r="I152" s="160"/>
      <c r="J152" s="160"/>
      <c r="K152" s="161"/>
      <c r="L152" s="44" t="s">
        <v>33</v>
      </c>
    </row>
    <row r="153" spans="1:12" x14ac:dyDescent="0.25">
      <c r="A153" s="66"/>
      <c r="B153" s="143" t="s">
        <v>1118</v>
      </c>
      <c r="C153" s="144"/>
      <c r="D153" s="158"/>
      <c r="E153" s="43">
        <v>316.45</v>
      </c>
      <c r="F153" s="159"/>
      <c r="G153" s="160"/>
      <c r="H153" s="160"/>
      <c r="I153" s="160"/>
      <c r="J153" s="160"/>
      <c r="K153" s="161"/>
      <c r="L153" s="44" t="s">
        <v>33</v>
      </c>
    </row>
    <row r="154" spans="1:12" x14ac:dyDescent="0.25">
      <c r="A154" s="66"/>
      <c r="B154" s="143" t="s">
        <v>879</v>
      </c>
      <c r="C154" s="144"/>
      <c r="D154" s="158"/>
      <c r="E154" s="43">
        <v>350.37</v>
      </c>
      <c r="F154" s="159"/>
      <c r="G154" s="160"/>
      <c r="H154" s="160"/>
      <c r="I154" s="160"/>
      <c r="J154" s="160"/>
      <c r="K154" s="161"/>
      <c r="L154" s="44" t="s">
        <v>33</v>
      </c>
    </row>
    <row r="155" spans="1:12" x14ac:dyDescent="0.25">
      <c r="A155" s="66"/>
      <c r="B155" s="143" t="s">
        <v>790</v>
      </c>
      <c r="C155" s="144"/>
      <c r="D155" s="158"/>
      <c r="E155" s="43">
        <v>301.42</v>
      </c>
      <c r="F155" s="159"/>
      <c r="G155" s="160"/>
      <c r="H155" s="160"/>
      <c r="I155" s="160"/>
      <c r="J155" s="160"/>
      <c r="K155" s="161"/>
      <c r="L155" s="44" t="s">
        <v>33</v>
      </c>
    </row>
    <row r="156" spans="1:12" x14ac:dyDescent="0.25">
      <c r="A156" s="66"/>
      <c r="B156" s="143" t="s">
        <v>419</v>
      </c>
      <c r="C156" s="144"/>
      <c r="D156" s="158"/>
      <c r="E156" s="43">
        <v>3300.97</v>
      </c>
      <c r="F156" s="159"/>
      <c r="G156" s="160"/>
      <c r="H156" s="160"/>
      <c r="I156" s="160"/>
      <c r="J156" s="160"/>
      <c r="K156" s="161"/>
      <c r="L156" s="44" t="s">
        <v>33</v>
      </c>
    </row>
    <row r="157" spans="1:12" x14ac:dyDescent="0.25">
      <c r="A157" s="66"/>
      <c r="B157" s="143" t="s">
        <v>1119</v>
      </c>
      <c r="C157" s="144"/>
      <c r="D157" s="158"/>
      <c r="E157" s="43">
        <v>366.57</v>
      </c>
      <c r="F157" s="159"/>
      <c r="G157" s="160"/>
      <c r="H157" s="160"/>
      <c r="I157" s="160"/>
      <c r="J157" s="160"/>
      <c r="K157" s="161"/>
      <c r="L157" s="44" t="s">
        <v>33</v>
      </c>
    </row>
    <row r="158" spans="1:12" x14ac:dyDescent="0.25">
      <c r="A158" s="66"/>
      <c r="B158" s="143" t="s">
        <v>736</v>
      </c>
      <c r="C158" s="144"/>
      <c r="D158" s="158"/>
      <c r="E158" s="43">
        <v>450.82</v>
      </c>
      <c r="F158" s="159"/>
      <c r="G158" s="160"/>
      <c r="H158" s="160"/>
      <c r="I158" s="160"/>
      <c r="J158" s="160"/>
      <c r="K158" s="161"/>
      <c r="L158" s="44" t="s">
        <v>33</v>
      </c>
    </row>
    <row r="159" spans="1:12" x14ac:dyDescent="0.25">
      <c r="A159" s="66"/>
      <c r="B159" s="143" t="s">
        <v>790</v>
      </c>
      <c r="C159" s="144"/>
      <c r="D159" s="158"/>
      <c r="E159" s="43">
        <v>289.86</v>
      </c>
      <c r="F159" s="159"/>
      <c r="G159" s="160"/>
      <c r="H159" s="160"/>
      <c r="I159" s="160"/>
      <c r="J159" s="160"/>
      <c r="K159" s="161"/>
      <c r="L159" s="44" t="s">
        <v>33</v>
      </c>
    </row>
    <row r="160" spans="1:12" x14ac:dyDescent="0.25">
      <c r="A160" s="66"/>
      <c r="B160" s="143" t="s">
        <v>751</v>
      </c>
      <c r="C160" s="144"/>
      <c r="D160" s="158"/>
      <c r="E160" s="43">
        <v>2360.4299999999998</v>
      </c>
      <c r="F160" s="159"/>
      <c r="G160" s="160"/>
      <c r="H160" s="160"/>
      <c r="I160" s="160"/>
      <c r="J160" s="160"/>
      <c r="K160" s="161"/>
      <c r="L160" s="44" t="s">
        <v>33</v>
      </c>
    </row>
    <row r="161" spans="1:12" x14ac:dyDescent="0.25">
      <c r="A161" s="66"/>
      <c r="B161" s="143" t="s">
        <v>800</v>
      </c>
      <c r="C161" s="144"/>
      <c r="D161" s="158"/>
      <c r="E161" s="43">
        <v>389.89</v>
      </c>
      <c r="F161" s="159"/>
      <c r="G161" s="160"/>
      <c r="H161" s="160"/>
      <c r="I161" s="160"/>
      <c r="J161" s="160"/>
      <c r="K161" s="161"/>
      <c r="L161" s="44" t="s">
        <v>33</v>
      </c>
    </row>
    <row r="162" spans="1:12" x14ac:dyDescent="0.25">
      <c r="A162" s="66"/>
      <c r="B162" s="143" t="s">
        <v>761</v>
      </c>
      <c r="C162" s="144"/>
      <c r="D162" s="158"/>
      <c r="E162" s="43">
        <v>1677.45</v>
      </c>
      <c r="F162" s="159"/>
      <c r="G162" s="160"/>
      <c r="H162" s="160"/>
      <c r="I162" s="160"/>
      <c r="J162" s="160"/>
      <c r="K162" s="161"/>
      <c r="L162" s="44" t="s">
        <v>33</v>
      </c>
    </row>
    <row r="163" spans="1:12" x14ac:dyDescent="0.25">
      <c r="A163" s="67"/>
      <c r="B163" s="143" t="s">
        <v>1131</v>
      </c>
      <c r="C163" s="144"/>
      <c r="D163" s="158"/>
      <c r="E163" s="43">
        <v>138396</v>
      </c>
      <c r="F163" s="159"/>
      <c r="G163" s="160"/>
      <c r="H163" s="160"/>
      <c r="I163" s="160"/>
      <c r="J163" s="160"/>
      <c r="K163" s="161"/>
      <c r="L163" s="44" t="s">
        <v>33</v>
      </c>
    </row>
    <row r="164" spans="1:12" ht="16.5" thickBot="1" x14ac:dyDescent="0.3">
      <c r="A164" s="67"/>
      <c r="B164" s="149" t="s">
        <v>1120</v>
      </c>
      <c r="C164" s="150"/>
      <c r="D164" s="169"/>
      <c r="E164" s="43">
        <v>375.83</v>
      </c>
      <c r="F164" s="170"/>
      <c r="G164" s="171"/>
      <c r="H164" s="171"/>
      <c r="I164" s="171"/>
      <c r="J164" s="171"/>
      <c r="K164" s="172"/>
      <c r="L164" s="44" t="s">
        <v>33</v>
      </c>
    </row>
    <row r="165" spans="1:12" ht="16.5" thickBot="1" x14ac:dyDescent="0.3">
      <c r="A165" s="70" t="s">
        <v>458</v>
      </c>
      <c r="B165" s="173" t="s">
        <v>463</v>
      </c>
      <c r="C165" s="174"/>
      <c r="D165" s="175"/>
      <c r="E165" s="36" t="s">
        <v>8</v>
      </c>
      <c r="F165" s="119" t="s">
        <v>15</v>
      </c>
      <c r="G165" s="120"/>
      <c r="H165" s="120"/>
      <c r="I165" s="120"/>
      <c r="J165" s="120"/>
      <c r="K165" s="121"/>
      <c r="L165" s="39" t="s">
        <v>16</v>
      </c>
    </row>
    <row r="166" spans="1:12" ht="16.5" thickBot="1" x14ac:dyDescent="0.3">
      <c r="A166" s="17" t="s">
        <v>147</v>
      </c>
      <c r="B166" s="128" t="s">
        <v>986</v>
      </c>
      <c r="C166" s="129"/>
      <c r="D166" s="162"/>
      <c r="E166" s="43">
        <v>1927.33</v>
      </c>
      <c r="F166" s="163"/>
      <c r="G166" s="164"/>
      <c r="H166" s="164"/>
      <c r="I166" s="164"/>
      <c r="J166" s="164"/>
      <c r="K166" s="165"/>
      <c r="L166" s="23" t="s">
        <v>33</v>
      </c>
    </row>
    <row r="167" spans="1:12" x14ac:dyDescent="0.25">
      <c r="A167" s="17" t="s">
        <v>77</v>
      </c>
      <c r="B167" s="128" t="s">
        <v>987</v>
      </c>
      <c r="C167" s="129"/>
      <c r="D167" s="162"/>
      <c r="E167" s="43">
        <v>1421.01</v>
      </c>
      <c r="F167" s="159"/>
      <c r="G167" s="160"/>
      <c r="H167" s="160"/>
      <c r="I167" s="160"/>
      <c r="J167" s="160"/>
      <c r="K167" s="161"/>
      <c r="L167" s="23" t="s">
        <v>33</v>
      </c>
    </row>
    <row r="168" spans="1:12" x14ac:dyDescent="0.25">
      <c r="A168" s="17" t="s">
        <v>98</v>
      </c>
      <c r="B168" s="143" t="s">
        <v>529</v>
      </c>
      <c r="C168" s="144"/>
      <c r="D168" s="158"/>
      <c r="E168" s="43">
        <v>239.77</v>
      </c>
      <c r="F168" s="159"/>
      <c r="G168" s="160"/>
      <c r="H168" s="160"/>
      <c r="I168" s="160"/>
      <c r="J168" s="160"/>
      <c r="K168" s="161"/>
      <c r="L168" s="23" t="s">
        <v>33</v>
      </c>
    </row>
    <row r="169" spans="1:12" x14ac:dyDescent="0.25">
      <c r="A169" s="17" t="s">
        <v>98</v>
      </c>
      <c r="B169" s="143" t="s">
        <v>529</v>
      </c>
      <c r="C169" s="144"/>
      <c r="D169" s="158"/>
      <c r="E169" s="43">
        <v>574.54999999999995</v>
      </c>
      <c r="F169" s="159"/>
      <c r="G169" s="160"/>
      <c r="H169" s="160"/>
      <c r="I169" s="160"/>
      <c r="J169" s="160"/>
      <c r="K169" s="161"/>
      <c r="L169" s="23" t="s">
        <v>33</v>
      </c>
    </row>
    <row r="170" spans="1:12" x14ac:dyDescent="0.25">
      <c r="A170" s="17" t="s">
        <v>989</v>
      </c>
      <c r="B170" s="143" t="s">
        <v>1121</v>
      </c>
      <c r="C170" s="144"/>
      <c r="D170" s="158"/>
      <c r="E170" s="43">
        <v>381.79</v>
      </c>
      <c r="F170" s="159"/>
      <c r="G170" s="160"/>
      <c r="H170" s="160"/>
      <c r="I170" s="160"/>
      <c r="J170" s="160"/>
      <c r="K170" s="161"/>
      <c r="L170" s="23" t="s">
        <v>33</v>
      </c>
    </row>
    <row r="171" spans="1:12" x14ac:dyDescent="0.25">
      <c r="A171" s="17" t="s">
        <v>227</v>
      </c>
      <c r="B171" s="143" t="s">
        <v>625</v>
      </c>
      <c r="C171" s="144"/>
      <c r="D171" s="158"/>
      <c r="E171" s="43">
        <v>587</v>
      </c>
      <c r="F171" s="159"/>
      <c r="G171" s="160"/>
      <c r="H171" s="160"/>
      <c r="I171" s="160"/>
      <c r="J171" s="160"/>
      <c r="K171" s="161"/>
      <c r="L171" s="23" t="s">
        <v>33</v>
      </c>
    </row>
    <row r="172" spans="1:12" x14ac:dyDescent="0.25">
      <c r="A172" s="17" t="s">
        <v>215</v>
      </c>
      <c r="B172" s="143" t="s">
        <v>214</v>
      </c>
      <c r="C172" s="144"/>
      <c r="D172" s="158"/>
      <c r="E172" s="43">
        <v>268.77999999999997</v>
      </c>
      <c r="F172" s="159"/>
      <c r="G172" s="160"/>
      <c r="H172" s="160"/>
      <c r="I172" s="160"/>
      <c r="J172" s="160"/>
      <c r="K172" s="161"/>
      <c r="L172" s="23" t="s">
        <v>33</v>
      </c>
    </row>
    <row r="173" spans="1:12" x14ac:dyDescent="0.25">
      <c r="A173" s="17" t="s">
        <v>990</v>
      </c>
      <c r="B173" s="143" t="s">
        <v>1122</v>
      </c>
      <c r="C173" s="144"/>
      <c r="D173" s="158"/>
      <c r="E173" s="43">
        <v>321.13</v>
      </c>
      <c r="F173" s="159"/>
      <c r="G173" s="160"/>
      <c r="H173" s="160"/>
      <c r="I173" s="160"/>
      <c r="J173" s="160"/>
      <c r="K173" s="161"/>
      <c r="L173" s="23" t="s">
        <v>33</v>
      </c>
    </row>
    <row r="174" spans="1:12" x14ac:dyDescent="0.25">
      <c r="A174" s="17" t="s">
        <v>323</v>
      </c>
      <c r="B174" s="143" t="s">
        <v>1097</v>
      </c>
      <c r="C174" s="144"/>
      <c r="D174" s="158"/>
      <c r="E174" s="43">
        <v>300.39999999999998</v>
      </c>
      <c r="F174" s="159"/>
      <c r="G174" s="160"/>
      <c r="H174" s="160"/>
      <c r="I174" s="160"/>
      <c r="J174" s="160"/>
      <c r="K174" s="161"/>
      <c r="L174" s="23" t="s">
        <v>33</v>
      </c>
    </row>
    <row r="175" spans="1:12" x14ac:dyDescent="0.25">
      <c r="A175" s="17" t="s">
        <v>42</v>
      </c>
      <c r="B175" s="74"/>
      <c r="C175" s="75" t="s">
        <v>492</v>
      </c>
      <c r="D175" s="76"/>
      <c r="E175" s="43">
        <v>407.12</v>
      </c>
      <c r="F175" s="77"/>
      <c r="G175" s="78"/>
      <c r="H175" s="78"/>
      <c r="I175" s="78"/>
      <c r="J175" s="78"/>
      <c r="K175" s="79"/>
      <c r="L175" s="23" t="s">
        <v>33</v>
      </c>
    </row>
    <row r="176" spans="1:12" x14ac:dyDescent="0.25">
      <c r="A176" s="17" t="s">
        <v>140</v>
      </c>
      <c r="B176" s="74"/>
      <c r="C176" s="75" t="s">
        <v>556</v>
      </c>
      <c r="D176" s="76"/>
      <c r="E176" s="43">
        <v>1522.11</v>
      </c>
      <c r="F176" s="77"/>
      <c r="G176" s="78"/>
      <c r="H176" s="78"/>
      <c r="I176" s="78"/>
      <c r="J176" s="78"/>
      <c r="K176" s="79"/>
      <c r="L176" s="23" t="s">
        <v>33</v>
      </c>
    </row>
    <row r="177" spans="1:12" x14ac:dyDescent="0.25">
      <c r="A177" s="17" t="s">
        <v>34</v>
      </c>
      <c r="B177" s="74"/>
      <c r="C177" s="75" t="s">
        <v>474</v>
      </c>
      <c r="D177" s="76"/>
      <c r="E177" s="43">
        <v>413.73</v>
      </c>
      <c r="F177" s="77"/>
      <c r="G177" s="78"/>
      <c r="H177" s="78"/>
      <c r="I177" s="78"/>
      <c r="J177" s="78"/>
      <c r="K177" s="79"/>
      <c r="L177" s="23" t="s">
        <v>33</v>
      </c>
    </row>
    <row r="178" spans="1:12" x14ac:dyDescent="0.25">
      <c r="A178" s="17" t="s">
        <v>991</v>
      </c>
      <c r="B178" s="74"/>
      <c r="C178" s="75" t="s">
        <v>1123</v>
      </c>
      <c r="D178" s="76"/>
      <c r="E178" s="43">
        <v>43031.34</v>
      </c>
      <c r="F178" s="77"/>
      <c r="G178" s="78"/>
      <c r="H178" s="78"/>
      <c r="I178" s="78"/>
      <c r="J178" s="78"/>
      <c r="K178" s="79"/>
      <c r="L178" s="23" t="s">
        <v>33</v>
      </c>
    </row>
    <row r="179" spans="1:12" x14ac:dyDescent="0.25">
      <c r="A179" s="17" t="s">
        <v>992</v>
      </c>
      <c r="B179" s="74"/>
      <c r="C179" s="75" t="s">
        <v>670</v>
      </c>
      <c r="D179" s="76"/>
      <c r="E179" s="43">
        <v>893.65</v>
      </c>
      <c r="F179" s="77"/>
      <c r="G179" s="78"/>
      <c r="H179" s="78"/>
      <c r="I179" s="78"/>
      <c r="J179" s="78"/>
      <c r="K179" s="79"/>
      <c r="L179" s="23" t="s">
        <v>33</v>
      </c>
    </row>
    <row r="180" spans="1:12" x14ac:dyDescent="0.25">
      <c r="A180" s="17" t="s">
        <v>993</v>
      </c>
      <c r="B180" s="74"/>
      <c r="C180" s="75" t="s">
        <v>113</v>
      </c>
      <c r="D180" s="76"/>
      <c r="E180" s="43">
        <v>948.74</v>
      </c>
      <c r="F180" s="77"/>
      <c r="G180" s="78"/>
      <c r="H180" s="78"/>
      <c r="I180" s="78"/>
      <c r="J180" s="78"/>
      <c r="K180" s="79"/>
      <c r="L180" s="23" t="s">
        <v>33</v>
      </c>
    </row>
    <row r="181" spans="1:12" x14ac:dyDescent="0.25">
      <c r="A181" s="17" t="s">
        <v>994</v>
      </c>
      <c r="B181" s="74"/>
      <c r="C181" s="75" t="s">
        <v>1124</v>
      </c>
      <c r="D181" s="76"/>
      <c r="E181" s="43">
        <v>3030.34</v>
      </c>
      <c r="F181" s="77"/>
      <c r="G181" s="78"/>
      <c r="H181" s="78"/>
      <c r="I181" s="78"/>
      <c r="J181" s="78"/>
      <c r="K181" s="79"/>
      <c r="L181" s="23" t="s">
        <v>33</v>
      </c>
    </row>
    <row r="182" spans="1:12" x14ac:dyDescent="0.25">
      <c r="A182" s="17" t="s">
        <v>281</v>
      </c>
      <c r="B182" s="74"/>
      <c r="C182" s="75" t="s">
        <v>673</v>
      </c>
      <c r="D182" s="76"/>
      <c r="E182" s="43">
        <v>751.67</v>
      </c>
      <c r="F182" s="77"/>
      <c r="G182" s="78"/>
      <c r="H182" s="78"/>
      <c r="I182" s="78"/>
      <c r="J182" s="78"/>
      <c r="K182" s="79"/>
      <c r="L182" s="23" t="s">
        <v>33</v>
      </c>
    </row>
    <row r="183" spans="1:12" x14ac:dyDescent="0.25">
      <c r="A183" s="17" t="s">
        <v>996</v>
      </c>
      <c r="B183" s="74"/>
      <c r="C183" s="75" t="s">
        <v>1125</v>
      </c>
      <c r="D183" s="76"/>
      <c r="E183" s="43">
        <v>521.52</v>
      </c>
      <c r="F183" s="77"/>
      <c r="G183" s="78"/>
      <c r="H183" s="78" t="s">
        <v>997</v>
      </c>
      <c r="I183" s="78"/>
      <c r="J183" s="78"/>
      <c r="K183" s="79"/>
      <c r="L183" s="23" t="s">
        <v>33</v>
      </c>
    </row>
    <row r="184" spans="1:12" x14ac:dyDescent="0.25">
      <c r="A184" s="17" t="s">
        <v>1001</v>
      </c>
      <c r="B184" s="74"/>
      <c r="C184" s="75" t="s">
        <v>533</v>
      </c>
      <c r="D184" s="76"/>
      <c r="E184" s="43">
        <v>346.27</v>
      </c>
      <c r="F184" s="77"/>
      <c r="G184" s="78"/>
      <c r="H184" s="78"/>
      <c r="I184" s="78"/>
      <c r="J184" s="78"/>
      <c r="K184" s="79"/>
      <c r="L184" s="23" t="s">
        <v>71</v>
      </c>
    </row>
    <row r="185" spans="1:12" x14ac:dyDescent="0.25">
      <c r="A185" s="17" t="s">
        <v>1003</v>
      </c>
      <c r="B185" s="74"/>
      <c r="C185" s="75" t="s">
        <v>614</v>
      </c>
      <c r="D185" s="76"/>
      <c r="E185" s="43">
        <v>351.56</v>
      </c>
      <c r="F185" s="77"/>
      <c r="G185" s="78"/>
      <c r="H185" s="78"/>
      <c r="I185" s="78"/>
      <c r="J185" s="78"/>
      <c r="K185" s="79"/>
      <c r="L185" s="23" t="s">
        <v>71</v>
      </c>
    </row>
    <row r="186" spans="1:12" x14ac:dyDescent="0.25">
      <c r="A186" s="17" t="s">
        <v>1004</v>
      </c>
      <c r="B186" s="74"/>
      <c r="C186" s="75" t="s">
        <v>609</v>
      </c>
      <c r="D186" s="76"/>
      <c r="E186" s="43">
        <v>697.5</v>
      </c>
      <c r="F186" s="77"/>
      <c r="G186" s="78"/>
      <c r="H186" s="78"/>
      <c r="I186" s="78"/>
      <c r="J186" s="78"/>
      <c r="K186" s="79"/>
      <c r="L186" s="23" t="s">
        <v>71</v>
      </c>
    </row>
    <row r="187" spans="1:12" x14ac:dyDescent="0.25">
      <c r="A187" s="17" t="s">
        <v>1005</v>
      </c>
      <c r="B187" s="74"/>
      <c r="C187" s="75" t="s">
        <v>186</v>
      </c>
      <c r="D187" s="76"/>
      <c r="E187" s="43">
        <v>403.16</v>
      </c>
      <c r="F187" s="77"/>
      <c r="G187" s="78"/>
      <c r="H187" s="78"/>
      <c r="I187" s="78"/>
      <c r="J187" s="78"/>
      <c r="K187" s="79"/>
      <c r="L187" s="23" t="s">
        <v>33</v>
      </c>
    </row>
    <row r="188" spans="1:12" x14ac:dyDescent="0.25">
      <c r="A188" s="17" t="s">
        <v>152</v>
      </c>
      <c r="B188" s="143" t="s">
        <v>690</v>
      </c>
      <c r="C188" s="144"/>
      <c r="D188" s="158"/>
      <c r="E188" s="43">
        <v>326.18</v>
      </c>
      <c r="F188" s="159"/>
      <c r="G188" s="160"/>
      <c r="H188" s="160"/>
      <c r="I188" s="160"/>
      <c r="J188" s="160"/>
      <c r="K188" s="161"/>
      <c r="L188" s="17" t="s">
        <v>33</v>
      </c>
    </row>
    <row r="189" spans="1:12" x14ac:dyDescent="0.25">
      <c r="A189" s="17" t="s">
        <v>93</v>
      </c>
      <c r="B189" s="74"/>
      <c r="C189" s="75" t="s">
        <v>1132</v>
      </c>
      <c r="D189" s="76"/>
      <c r="E189" s="43">
        <v>557.73</v>
      </c>
      <c r="F189" s="77"/>
      <c r="G189" s="78"/>
      <c r="H189" s="78"/>
      <c r="I189" s="78"/>
      <c r="J189" s="78"/>
      <c r="K189" s="79"/>
      <c r="L189" s="17" t="s">
        <v>33</v>
      </c>
    </row>
    <row r="190" spans="1:12" x14ac:dyDescent="0.25">
      <c r="A190" s="17" t="s">
        <v>156</v>
      </c>
      <c r="B190" s="74"/>
      <c r="C190" s="75" t="s">
        <v>69</v>
      </c>
      <c r="D190" s="76"/>
      <c r="E190" s="43">
        <v>4414.4399999999996</v>
      </c>
      <c r="F190" s="77"/>
      <c r="G190" s="78"/>
      <c r="H190" s="78"/>
      <c r="I190" s="78"/>
      <c r="J190" s="78"/>
      <c r="K190" s="79"/>
      <c r="L190" s="17" t="s">
        <v>71</v>
      </c>
    </row>
    <row r="191" spans="1:12" x14ac:dyDescent="0.25">
      <c r="A191" s="17" t="s">
        <v>358</v>
      </c>
      <c r="B191" s="74"/>
      <c r="C191" s="75" t="s">
        <v>1133</v>
      </c>
      <c r="D191" s="76"/>
      <c r="E191" s="43">
        <v>355.19</v>
      </c>
      <c r="F191" s="77"/>
      <c r="G191" s="78"/>
      <c r="H191" s="78"/>
      <c r="I191" s="78"/>
      <c r="J191" s="78"/>
      <c r="K191" s="79"/>
      <c r="L191" s="17" t="s">
        <v>71</v>
      </c>
    </row>
    <row r="192" spans="1:12" x14ac:dyDescent="0.25">
      <c r="A192" s="17" t="s">
        <v>1135</v>
      </c>
      <c r="B192" s="74"/>
      <c r="C192" s="75" t="s">
        <v>1134</v>
      </c>
      <c r="D192" s="76"/>
      <c r="E192" s="43">
        <v>2531.16</v>
      </c>
      <c r="F192" s="77"/>
      <c r="G192" s="78"/>
      <c r="H192" s="78"/>
      <c r="I192" s="78"/>
      <c r="J192" s="78"/>
      <c r="K192" s="79"/>
      <c r="L192" s="17" t="s">
        <v>71</v>
      </c>
    </row>
    <row r="193" spans="1:12" x14ac:dyDescent="0.25">
      <c r="A193" s="17" t="s">
        <v>375</v>
      </c>
      <c r="B193" s="74"/>
      <c r="C193" s="75" t="s">
        <v>1136</v>
      </c>
      <c r="D193" s="76"/>
      <c r="E193" s="43">
        <v>371.45</v>
      </c>
      <c r="F193" s="77"/>
      <c r="G193" s="78"/>
      <c r="H193" s="78"/>
      <c r="I193" s="78"/>
      <c r="J193" s="78"/>
      <c r="K193" s="79"/>
      <c r="L193" s="17" t="s">
        <v>71</v>
      </c>
    </row>
    <row r="194" spans="1:12" x14ac:dyDescent="0.25">
      <c r="A194" s="17" t="s">
        <v>114</v>
      </c>
      <c r="B194" s="74"/>
      <c r="C194" s="75" t="s">
        <v>113</v>
      </c>
      <c r="D194" s="76"/>
      <c r="E194" s="43">
        <v>948.74</v>
      </c>
      <c r="F194" s="77"/>
      <c r="G194" s="78"/>
      <c r="H194" s="78"/>
      <c r="I194" s="78"/>
      <c r="J194" s="78"/>
      <c r="K194" s="79"/>
      <c r="L194" s="17" t="s">
        <v>71</v>
      </c>
    </row>
    <row r="195" spans="1:12" x14ac:dyDescent="0.25">
      <c r="A195" s="17" t="s">
        <v>1138</v>
      </c>
      <c r="B195" s="74"/>
      <c r="C195" s="75" t="s">
        <v>1137</v>
      </c>
      <c r="D195" s="76"/>
      <c r="E195" s="43">
        <v>948.45</v>
      </c>
      <c r="F195" s="77"/>
      <c r="G195" s="78"/>
      <c r="H195" s="78"/>
      <c r="I195" s="78"/>
      <c r="J195" s="78"/>
      <c r="K195" s="79"/>
      <c r="L195" s="17" t="s">
        <v>71</v>
      </c>
    </row>
    <row r="196" spans="1:12" x14ac:dyDescent="0.25">
      <c r="A196" s="17" t="s">
        <v>123</v>
      </c>
      <c r="B196" s="74"/>
      <c r="C196" s="75" t="s">
        <v>1139</v>
      </c>
      <c r="D196" s="76"/>
      <c r="E196" s="43">
        <v>1726.03</v>
      </c>
      <c r="F196" s="77"/>
      <c r="G196" s="78"/>
      <c r="H196" s="78"/>
      <c r="I196" s="78"/>
      <c r="J196" s="78"/>
      <c r="K196" s="79"/>
      <c r="L196" s="17" t="s">
        <v>71</v>
      </c>
    </row>
    <row r="197" spans="1:12" x14ac:dyDescent="0.25">
      <c r="A197" s="17" t="s">
        <v>124</v>
      </c>
      <c r="B197" s="74"/>
      <c r="C197" s="75" t="s">
        <v>1141</v>
      </c>
      <c r="D197" s="76"/>
      <c r="E197" s="43">
        <v>321.19</v>
      </c>
      <c r="F197" s="77"/>
      <c r="G197" s="78"/>
      <c r="H197" s="78"/>
      <c r="I197" s="78"/>
      <c r="J197" s="78"/>
      <c r="K197" s="79"/>
      <c r="L197" s="17" t="s">
        <v>71</v>
      </c>
    </row>
    <row r="198" spans="1:12" x14ac:dyDescent="0.25">
      <c r="A198" s="17" t="s">
        <v>247</v>
      </c>
      <c r="B198" s="74"/>
      <c r="C198" s="75" t="s">
        <v>1144</v>
      </c>
      <c r="D198" s="76"/>
      <c r="E198" s="43">
        <v>821.94</v>
      </c>
      <c r="F198" s="77"/>
      <c r="G198" s="78"/>
      <c r="H198" s="78"/>
      <c r="I198" s="78"/>
      <c r="J198" s="78"/>
      <c r="K198" s="79"/>
      <c r="L198" s="17" t="s">
        <v>71</v>
      </c>
    </row>
    <row r="199" spans="1:12" x14ac:dyDescent="0.25">
      <c r="A199" s="17"/>
      <c r="B199" s="74"/>
      <c r="C199" s="75"/>
      <c r="D199" s="76"/>
      <c r="E199" s="43"/>
      <c r="F199" s="77"/>
      <c r="G199" s="78"/>
      <c r="H199" s="78"/>
      <c r="I199" s="78"/>
      <c r="J199" s="78"/>
      <c r="K199" s="79"/>
      <c r="L199" s="17"/>
    </row>
    <row r="200" spans="1:12" x14ac:dyDescent="0.25">
      <c r="A200" s="17"/>
      <c r="B200" s="74"/>
      <c r="C200" s="75"/>
      <c r="D200" s="76"/>
      <c r="E200" s="43"/>
      <c r="F200" s="77"/>
      <c r="G200" s="78"/>
      <c r="H200" s="78"/>
      <c r="I200" s="78"/>
      <c r="J200" s="78"/>
      <c r="K200" s="79"/>
      <c r="L200" s="17"/>
    </row>
    <row r="201" spans="1:12" x14ac:dyDescent="0.25">
      <c r="A201" s="17"/>
      <c r="B201" s="74"/>
      <c r="C201" s="75"/>
      <c r="D201" s="76"/>
      <c r="E201" s="43"/>
      <c r="F201" s="77"/>
      <c r="G201" s="78"/>
      <c r="H201" s="78"/>
      <c r="I201" s="78"/>
      <c r="J201" s="78"/>
      <c r="K201" s="79"/>
      <c r="L201" s="17"/>
    </row>
    <row r="202" spans="1:12" x14ac:dyDescent="0.25">
      <c r="A202" s="17"/>
      <c r="B202" s="74"/>
      <c r="C202" s="75"/>
      <c r="D202" s="76"/>
      <c r="E202" s="43"/>
      <c r="F202" s="77"/>
      <c r="G202" s="78"/>
      <c r="H202" s="78"/>
      <c r="I202" s="78"/>
      <c r="J202" s="78"/>
      <c r="K202" s="79"/>
      <c r="L202" s="17"/>
    </row>
    <row r="203" spans="1:12" x14ac:dyDescent="0.25">
      <c r="A203" s="17"/>
      <c r="B203" s="143"/>
      <c r="C203" s="144"/>
      <c r="D203" s="158"/>
      <c r="E203" s="43"/>
      <c r="F203" s="159"/>
      <c r="G203" s="160"/>
      <c r="H203" s="160"/>
      <c r="I203" s="160"/>
      <c r="J203" s="160"/>
      <c r="K203" s="161"/>
      <c r="L203" s="17"/>
    </row>
    <row r="204" spans="1:12" x14ac:dyDescent="0.25">
      <c r="A204" s="17"/>
      <c r="B204" s="143"/>
      <c r="C204" s="144"/>
      <c r="D204" s="158"/>
      <c r="E204" s="43"/>
      <c r="F204" s="159"/>
      <c r="G204" s="160"/>
      <c r="H204" s="160"/>
      <c r="I204" s="160"/>
      <c r="J204" s="160"/>
      <c r="K204" s="161"/>
      <c r="L204" s="17"/>
    </row>
    <row r="205" spans="1:12" ht="16.5" thickBot="1" x14ac:dyDescent="0.3">
      <c r="A205" s="26"/>
      <c r="B205" s="149"/>
      <c r="C205" s="150"/>
      <c r="D205" s="169"/>
      <c r="E205" s="45"/>
      <c r="F205" s="170"/>
      <c r="G205" s="171"/>
      <c r="H205" s="171"/>
      <c r="I205" s="171"/>
      <c r="J205" s="171"/>
      <c r="K205" s="172"/>
      <c r="L205" s="26"/>
    </row>
    <row r="206" spans="1:12" x14ac:dyDescent="0.25">
      <c r="A206" s="68"/>
      <c r="B206" s="69"/>
      <c r="C206" s="46"/>
      <c r="D206" s="46"/>
      <c r="F206" s="47"/>
      <c r="G206" s="47"/>
      <c r="H206" s="47"/>
      <c r="I206" s="47"/>
      <c r="J206" s="47"/>
      <c r="K206" s="47"/>
    </row>
    <row r="207" spans="1:12" x14ac:dyDescent="0.25">
      <c r="B207" s="176" t="s">
        <v>464</v>
      </c>
      <c r="C207" s="176"/>
      <c r="D207" s="176"/>
      <c r="E207" s="6">
        <f>SUM(E40:E47)</f>
        <v>2980.75</v>
      </c>
      <c r="F207" s="6"/>
      <c r="G207" s="6"/>
      <c r="H207" s="6"/>
      <c r="I207" s="6"/>
      <c r="J207" s="6"/>
      <c r="K207" s="6"/>
    </row>
    <row r="208" spans="1:12" x14ac:dyDescent="0.25">
      <c r="B208" s="176" t="s">
        <v>465</v>
      </c>
      <c r="C208" s="176"/>
      <c r="D208" s="176"/>
      <c r="E208" s="6">
        <f>SUM(E21:E38)</f>
        <v>2575.2200000000003</v>
      </c>
    </row>
    <row r="209" spans="2:5" x14ac:dyDescent="0.25">
      <c r="B209" s="176" t="s">
        <v>466</v>
      </c>
      <c r="C209" s="176"/>
      <c r="D209" s="176"/>
      <c r="E209" s="6">
        <f>SUM(E49:E60)</f>
        <v>6151.93</v>
      </c>
    </row>
    <row r="214" spans="2:5" ht="18.75" x14ac:dyDescent="0.3">
      <c r="B214" s="48"/>
    </row>
  </sheetData>
  <mergeCells count="338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6:K16"/>
    <mergeCell ref="B20:D20"/>
    <mergeCell ref="H20:K20"/>
    <mergeCell ref="B21:D21"/>
    <mergeCell ref="H21:K21"/>
    <mergeCell ref="I9:K9"/>
    <mergeCell ref="I10:K10"/>
    <mergeCell ref="I11:K11"/>
    <mergeCell ref="I13:K13"/>
    <mergeCell ref="I14:K14"/>
    <mergeCell ref="I15:K15"/>
    <mergeCell ref="A19:L19"/>
    <mergeCell ref="I12:K12"/>
    <mergeCell ref="B25:D25"/>
    <mergeCell ref="H25:K25"/>
    <mergeCell ref="B26:D26"/>
    <mergeCell ref="H26:K26"/>
    <mergeCell ref="B27:D27"/>
    <mergeCell ref="H27:K27"/>
    <mergeCell ref="B22:D22"/>
    <mergeCell ref="H22:K22"/>
    <mergeCell ref="B23:D23"/>
    <mergeCell ref="H23:K23"/>
    <mergeCell ref="B24:D24"/>
    <mergeCell ref="H24:K24"/>
    <mergeCell ref="B31:D31"/>
    <mergeCell ref="H31:K31"/>
    <mergeCell ref="B32:D32"/>
    <mergeCell ref="H32:K32"/>
    <mergeCell ref="B33:D33"/>
    <mergeCell ref="H33:K33"/>
    <mergeCell ref="B28:D28"/>
    <mergeCell ref="H28:K28"/>
    <mergeCell ref="B29:D29"/>
    <mergeCell ref="H29:K29"/>
    <mergeCell ref="B30:D30"/>
    <mergeCell ref="H30:K30"/>
    <mergeCell ref="B37:D37"/>
    <mergeCell ref="H37:K37"/>
    <mergeCell ref="B38:D38"/>
    <mergeCell ref="H38:K38"/>
    <mergeCell ref="B39:D39"/>
    <mergeCell ref="F39:K39"/>
    <mergeCell ref="B34:D34"/>
    <mergeCell ref="H34:K34"/>
    <mergeCell ref="B35:D35"/>
    <mergeCell ref="H35:K35"/>
    <mergeCell ref="B36:D36"/>
    <mergeCell ref="H36:K36"/>
    <mergeCell ref="B42:D42"/>
    <mergeCell ref="F42:K42"/>
    <mergeCell ref="B43:D43"/>
    <mergeCell ref="F43:K43"/>
    <mergeCell ref="B44:D44"/>
    <mergeCell ref="F44:K44"/>
    <mergeCell ref="B40:D40"/>
    <mergeCell ref="F40:K40"/>
    <mergeCell ref="B41:D41"/>
    <mergeCell ref="F41:K41"/>
    <mergeCell ref="B48:D48"/>
    <mergeCell ref="F48:K48"/>
    <mergeCell ref="B49:D49"/>
    <mergeCell ref="F49:K49"/>
    <mergeCell ref="B53:D53"/>
    <mergeCell ref="F53:K53"/>
    <mergeCell ref="B45:D45"/>
    <mergeCell ref="F45:K45"/>
    <mergeCell ref="B46:D46"/>
    <mergeCell ref="F46:K46"/>
    <mergeCell ref="B47:D47"/>
    <mergeCell ref="F47:K47"/>
    <mergeCell ref="B57:D57"/>
    <mergeCell ref="F57:K57"/>
    <mergeCell ref="B58:D58"/>
    <mergeCell ref="F58:K58"/>
    <mergeCell ref="B59:D59"/>
    <mergeCell ref="F59:K59"/>
    <mergeCell ref="B54:D54"/>
    <mergeCell ref="F54:K54"/>
    <mergeCell ref="B55:D55"/>
    <mergeCell ref="F55:K55"/>
    <mergeCell ref="B56:D56"/>
    <mergeCell ref="F56:K56"/>
    <mergeCell ref="B166:D166"/>
    <mergeCell ref="F166:K166"/>
    <mergeCell ref="B167:D167"/>
    <mergeCell ref="F167:K167"/>
    <mergeCell ref="B60:D60"/>
    <mergeCell ref="F60:K60"/>
    <mergeCell ref="B61:D61"/>
    <mergeCell ref="F61:K61"/>
    <mergeCell ref="B62:D62"/>
    <mergeCell ref="F62:K62"/>
    <mergeCell ref="B159:D159"/>
    <mergeCell ref="F159:K159"/>
    <mergeCell ref="B160:D160"/>
    <mergeCell ref="F160:K160"/>
    <mergeCell ref="B162:D162"/>
    <mergeCell ref="B164:D164"/>
    <mergeCell ref="B165:D165"/>
    <mergeCell ref="F162:K162"/>
    <mergeCell ref="F164:K164"/>
    <mergeCell ref="F165:K165"/>
    <mergeCell ref="B63:D63"/>
    <mergeCell ref="F63:K63"/>
    <mergeCell ref="B64:D64"/>
    <mergeCell ref="F64:K64"/>
    <mergeCell ref="B172:D172"/>
    <mergeCell ref="F172:K172"/>
    <mergeCell ref="B173:D173"/>
    <mergeCell ref="F173:K173"/>
    <mergeCell ref="B174:D174"/>
    <mergeCell ref="F174:K174"/>
    <mergeCell ref="B168:D168"/>
    <mergeCell ref="F168:K168"/>
    <mergeCell ref="B169:D169"/>
    <mergeCell ref="F169:K169"/>
    <mergeCell ref="B171:D171"/>
    <mergeCell ref="F171:K171"/>
    <mergeCell ref="F170:K170"/>
    <mergeCell ref="B170:D170"/>
    <mergeCell ref="B209:D209"/>
    <mergeCell ref="B188:D188"/>
    <mergeCell ref="F188:K188"/>
    <mergeCell ref="B207:D207"/>
    <mergeCell ref="B208:D208"/>
    <mergeCell ref="B203:D203"/>
    <mergeCell ref="F203:K203"/>
    <mergeCell ref="B204:D204"/>
    <mergeCell ref="F204:K204"/>
    <mergeCell ref="B205:D205"/>
    <mergeCell ref="F205:K205"/>
    <mergeCell ref="B65:D65"/>
    <mergeCell ref="F65:K65"/>
    <mergeCell ref="B66:D66"/>
    <mergeCell ref="F66:K66"/>
    <mergeCell ref="B67:D67"/>
    <mergeCell ref="F67:K67"/>
    <mergeCell ref="B68:D68"/>
    <mergeCell ref="F68:K68"/>
    <mergeCell ref="B69:D69"/>
    <mergeCell ref="F69:K69"/>
    <mergeCell ref="B70:D70"/>
    <mergeCell ref="F70:K70"/>
    <mergeCell ref="B71:D71"/>
    <mergeCell ref="F71:K71"/>
    <mergeCell ref="B72:D72"/>
    <mergeCell ref="F72:K72"/>
    <mergeCell ref="B73:D73"/>
    <mergeCell ref="F73:K73"/>
    <mergeCell ref="B74:D74"/>
    <mergeCell ref="F74:K74"/>
    <mergeCell ref="B75:D75"/>
    <mergeCell ref="F75:K75"/>
    <mergeCell ref="B76:D76"/>
    <mergeCell ref="F76:K76"/>
    <mergeCell ref="B77:D77"/>
    <mergeCell ref="F77:K77"/>
    <mergeCell ref="B78:D78"/>
    <mergeCell ref="F78:K78"/>
    <mergeCell ref="B79:D79"/>
    <mergeCell ref="F79:K79"/>
    <mergeCell ref="B80:D80"/>
    <mergeCell ref="F80:K80"/>
    <mergeCell ref="B81:D81"/>
    <mergeCell ref="F81:K81"/>
    <mergeCell ref="B82:D82"/>
    <mergeCell ref="F82:K82"/>
    <mergeCell ref="B83:D83"/>
    <mergeCell ref="F83:K83"/>
    <mergeCell ref="B84:D84"/>
    <mergeCell ref="F84:K84"/>
    <mergeCell ref="B85:D85"/>
    <mergeCell ref="F85:K85"/>
    <mergeCell ref="B86:D86"/>
    <mergeCell ref="F86:K86"/>
    <mergeCell ref="B87:D87"/>
    <mergeCell ref="F87:K87"/>
    <mergeCell ref="B88:D88"/>
    <mergeCell ref="F88:K88"/>
    <mergeCell ref="B89:D89"/>
    <mergeCell ref="F89:K89"/>
    <mergeCell ref="B90:D90"/>
    <mergeCell ref="F90:K90"/>
    <mergeCell ref="B91:D91"/>
    <mergeCell ref="F91:K91"/>
    <mergeCell ref="B92:D92"/>
    <mergeCell ref="F92:K92"/>
    <mergeCell ref="B93:D93"/>
    <mergeCell ref="F93:K93"/>
    <mergeCell ref="B94:D94"/>
    <mergeCell ref="F94:K94"/>
    <mergeCell ref="B95:D95"/>
    <mergeCell ref="F95:K95"/>
    <mergeCell ref="B96:D96"/>
    <mergeCell ref="F96:K96"/>
    <mergeCell ref="B97:D97"/>
    <mergeCell ref="F97:K97"/>
    <mergeCell ref="B98:D98"/>
    <mergeCell ref="F98:K98"/>
    <mergeCell ref="B99:D99"/>
    <mergeCell ref="F99:K99"/>
    <mergeCell ref="B100:D100"/>
    <mergeCell ref="F100:K100"/>
    <mergeCell ref="B101:D101"/>
    <mergeCell ref="F101:K101"/>
    <mergeCell ref="B102:D102"/>
    <mergeCell ref="F102:K102"/>
    <mergeCell ref="B103:D103"/>
    <mergeCell ref="F103:K103"/>
    <mergeCell ref="B104:D104"/>
    <mergeCell ref="F104:K104"/>
    <mergeCell ref="B105:D105"/>
    <mergeCell ref="F105:K105"/>
    <mergeCell ref="B106:D106"/>
    <mergeCell ref="F106:K106"/>
    <mergeCell ref="B107:D107"/>
    <mergeCell ref="F107:K107"/>
    <mergeCell ref="B108:D108"/>
    <mergeCell ref="F108:K108"/>
    <mergeCell ref="B109:D109"/>
    <mergeCell ref="F109:K109"/>
    <mergeCell ref="B110:D110"/>
    <mergeCell ref="F110:K110"/>
    <mergeCell ref="B111:D111"/>
    <mergeCell ref="F111:K111"/>
    <mergeCell ref="B112:D112"/>
    <mergeCell ref="F112:K112"/>
    <mergeCell ref="B113:D113"/>
    <mergeCell ref="F113:K113"/>
    <mergeCell ref="B114:D114"/>
    <mergeCell ref="F114:K114"/>
    <mergeCell ref="B115:D115"/>
    <mergeCell ref="F115:K115"/>
    <mergeCell ref="B116:D116"/>
    <mergeCell ref="F116:K116"/>
    <mergeCell ref="B117:D117"/>
    <mergeCell ref="F117:K117"/>
    <mergeCell ref="B118:D118"/>
    <mergeCell ref="F118:K118"/>
    <mergeCell ref="B119:D119"/>
    <mergeCell ref="F119:K119"/>
    <mergeCell ref="B120:D120"/>
    <mergeCell ref="F120:K120"/>
    <mergeCell ref="B121:D121"/>
    <mergeCell ref="F121:K121"/>
    <mergeCell ref="B122:D122"/>
    <mergeCell ref="F122:K122"/>
    <mergeCell ref="B123:D123"/>
    <mergeCell ref="F123:K123"/>
    <mergeCell ref="B124:D124"/>
    <mergeCell ref="F124:K124"/>
    <mergeCell ref="B125:D125"/>
    <mergeCell ref="F125:K125"/>
    <mergeCell ref="B126:D126"/>
    <mergeCell ref="F126:K126"/>
    <mergeCell ref="B127:D127"/>
    <mergeCell ref="F127:K127"/>
    <mergeCell ref="B128:D128"/>
    <mergeCell ref="F128:K128"/>
    <mergeCell ref="B129:D129"/>
    <mergeCell ref="F129:K129"/>
    <mergeCell ref="B130:D130"/>
    <mergeCell ref="F130:K130"/>
    <mergeCell ref="B131:D131"/>
    <mergeCell ref="F131:K131"/>
    <mergeCell ref="B132:D132"/>
    <mergeCell ref="F132:K132"/>
    <mergeCell ref="B133:D133"/>
    <mergeCell ref="F133:K133"/>
    <mergeCell ref="B134:D134"/>
    <mergeCell ref="F134:K134"/>
    <mergeCell ref="B135:D135"/>
    <mergeCell ref="F135:K135"/>
    <mergeCell ref="B136:D136"/>
    <mergeCell ref="F136:K136"/>
    <mergeCell ref="B137:D137"/>
    <mergeCell ref="F137:K137"/>
    <mergeCell ref="B138:D138"/>
    <mergeCell ref="F138:K138"/>
    <mergeCell ref="B139:D139"/>
    <mergeCell ref="F139:K139"/>
    <mergeCell ref="B140:D140"/>
    <mergeCell ref="F140:K140"/>
    <mergeCell ref="B141:D141"/>
    <mergeCell ref="F141:K141"/>
    <mergeCell ref="B142:D142"/>
    <mergeCell ref="F142:K142"/>
    <mergeCell ref="B143:D143"/>
    <mergeCell ref="F143:K143"/>
    <mergeCell ref="B144:D144"/>
    <mergeCell ref="F144:K144"/>
    <mergeCell ref="B145:D145"/>
    <mergeCell ref="F145:K145"/>
    <mergeCell ref="B146:D146"/>
    <mergeCell ref="F146:K146"/>
    <mergeCell ref="B147:D147"/>
    <mergeCell ref="F147:K147"/>
    <mergeCell ref="B148:D148"/>
    <mergeCell ref="F148:K148"/>
    <mergeCell ref="B149:D149"/>
    <mergeCell ref="F149:K149"/>
    <mergeCell ref="B150:D150"/>
    <mergeCell ref="F150:K150"/>
    <mergeCell ref="B151:D151"/>
    <mergeCell ref="F151:K151"/>
    <mergeCell ref="B152:D152"/>
    <mergeCell ref="F152:K152"/>
    <mergeCell ref="B153:D153"/>
    <mergeCell ref="F153:K153"/>
    <mergeCell ref="B163:D163"/>
    <mergeCell ref="F163:K163"/>
    <mergeCell ref="B154:D154"/>
    <mergeCell ref="F154:K154"/>
    <mergeCell ref="B155:D155"/>
    <mergeCell ref="F155:K155"/>
    <mergeCell ref="B156:D156"/>
    <mergeCell ref="F156:K156"/>
    <mergeCell ref="B157:D157"/>
    <mergeCell ref="F157:K157"/>
    <mergeCell ref="B158:D158"/>
    <mergeCell ref="F158:K158"/>
    <mergeCell ref="B161:D161"/>
    <mergeCell ref="F161:K161"/>
  </mergeCells>
  <conditionalFormatting sqref="A19:A20 B39:XFD47">
    <cfRule type="cellIs" dxfId="259" priority="1" stopIfTrue="1" operator="equal">
      <formula>"OK"</formula>
    </cfRule>
  </conditionalFormatting>
  <conditionalFormatting sqref="A212:XFD1048576">
    <cfRule type="cellIs" dxfId="258" priority="13" stopIfTrue="1" operator="equal">
      <formula>"OK"</formula>
    </cfRule>
  </conditionalFormatting>
  <conditionalFormatting sqref="B49:B55 B21:H38">
    <cfRule type="expression" dxfId="257" priority="20">
      <formula>$J21="ancien paiement"</formula>
    </cfRule>
  </conditionalFormatting>
  <conditionalFormatting sqref="B63:B161 E63:F161 B167:D167 E167:F168 B168 B169:K169 B170 E170:F170 B171:K205">
    <cfRule type="expression" dxfId="256" priority="19">
      <formula>$F63="ancien paiement"</formula>
    </cfRule>
    <cfRule type="expression" dxfId="255" priority="21">
      <formula>$J63="ancien paiement"</formula>
    </cfRule>
  </conditionalFormatting>
  <conditionalFormatting sqref="B63:B161 E63:F161 B167:D167 E167:F168 B168 B169:XFD169 B170 E170:F170 B171:XFD211 B20:H38 B162:K164 B165:XFD166 B61:XFD62 B1:J1 M1:XFD1 A2:XFD2 E3 G3:I3 M3:XFD3 B3:D6 K4 P4:XFD7 K5:L7 B7:I7 B8:D8 F8 I8 M8:XFD8 L9:XFD17 A18:XFD18 M19:XFD19 L20:XFD38 M48:XFD60 L63:XFD164 L167:XFD168 L170:XFD170">
    <cfRule type="cellIs" dxfId="254" priority="22" stopIfTrue="1" operator="equal">
      <formula>"OK"</formula>
    </cfRule>
  </conditionalFormatting>
  <conditionalFormatting sqref="B9:I17">
    <cfRule type="cellIs" dxfId="253" priority="11" stopIfTrue="1" operator="equal">
      <formula>"OK"</formula>
    </cfRule>
  </conditionalFormatting>
  <conditionalFormatting sqref="B40:K48 B49:B55">
    <cfRule type="expression" dxfId="252" priority="5">
      <formula>$F40="ancien paiement"</formula>
    </cfRule>
  </conditionalFormatting>
  <conditionalFormatting sqref="B41:K48">
    <cfRule type="expression" dxfId="251" priority="6">
      <formula>$J41="ancien paiement"</formula>
    </cfRule>
  </conditionalFormatting>
  <conditionalFormatting sqref="B57:K62">
    <cfRule type="expression" dxfId="250" priority="7">
      <formula>$F57="ancien paiement"</formula>
    </cfRule>
    <cfRule type="expression" dxfId="249" priority="8">
      <formula>$J57="ancien paiement"</formula>
    </cfRule>
  </conditionalFormatting>
  <conditionalFormatting sqref="B162:K164">
    <cfRule type="expression" dxfId="248" priority="16">
      <formula>$F162="ancien paiement"</formula>
    </cfRule>
    <cfRule type="expression" dxfId="247" priority="17">
      <formula>$J162="ancien paiement"</formula>
    </cfRule>
  </conditionalFormatting>
  <conditionalFormatting sqref="B166:K166">
    <cfRule type="expression" dxfId="246" priority="14">
      <formula>$F166="ancien paiement"</formula>
    </cfRule>
    <cfRule type="expression" dxfId="245" priority="15">
      <formula>$J166="ancien paiement"</formula>
    </cfRule>
  </conditionalFormatting>
  <conditionalFormatting sqref="B54:L60 B48:L52 B53:D53">
    <cfRule type="cellIs" dxfId="244" priority="9" stopIfTrue="1" operator="equal">
      <formula>"OK"</formula>
    </cfRule>
  </conditionalFormatting>
  <conditionalFormatting sqref="E49:E52">
    <cfRule type="expression" dxfId="243" priority="10">
      <formula>#REF!="ancien paiement"</formula>
    </cfRule>
  </conditionalFormatting>
  <conditionalFormatting sqref="E49:F55">
    <cfRule type="expression" dxfId="242" priority="2">
      <formula>$F49="ancien paiement"</formula>
    </cfRule>
    <cfRule type="expression" dxfId="241" priority="3">
      <formula>$J49="ancien paiement"</formula>
    </cfRule>
  </conditionalFormatting>
  <conditionalFormatting sqref="E4:I6">
    <cfRule type="cellIs" dxfId="240" priority="12" stopIfTrue="1" operator="equal">
      <formula>"OK"</formula>
    </cfRule>
  </conditionalFormatting>
  <conditionalFormatting sqref="E53:L53">
    <cfRule type="cellIs" dxfId="239" priority="4" stopIfTrue="1" operator="equal">
      <formula>"OK"</formula>
    </cfRule>
  </conditionalFormatting>
  <pageMargins left="0.7" right="0.7" top="0.75" bottom="0.75" header="0.3" footer="0.3"/>
  <pageSetup paperSize="9" scale="22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16DC-2E31-4BA0-AA0C-36CF21F61A88}">
  <sheetPr>
    <pageSetUpPr fitToPage="1"/>
  </sheetPr>
  <dimension ref="A1:N113"/>
  <sheetViews>
    <sheetView topLeftCell="A13" workbookViewId="0">
      <selection activeCell="M15" sqref="M1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46133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1229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5855</v>
      </c>
      <c r="G4" s="1" t="s">
        <v>1230</v>
      </c>
      <c r="I4" s="112" t="s">
        <v>3</v>
      </c>
      <c r="J4" s="113"/>
      <c r="K4" s="114">
        <f>E106+C17</f>
        <v>5855</v>
      </c>
      <c r="L4" s="115"/>
      <c r="N4" s="6"/>
    </row>
    <row r="5" spans="2:14" ht="16.5" thickBot="1" x14ac:dyDescent="0.3">
      <c r="E5" s="7" t="s">
        <v>4</v>
      </c>
      <c r="F5" s="8">
        <v>5091.62</v>
      </c>
      <c r="G5" s="1" t="s">
        <v>1231</v>
      </c>
      <c r="I5" s="95" t="s">
        <v>5</v>
      </c>
      <c r="J5" s="96"/>
      <c r="K5" s="97">
        <f>E18+E107</f>
        <v>4699.41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G18+E108</f>
        <v>33181.560000000005</v>
      </c>
      <c r="L6" s="98"/>
    </row>
    <row r="7" spans="2:14" ht="16.5" thickBot="1" x14ac:dyDescent="0.3">
      <c r="I7" s="99" t="s">
        <v>6</v>
      </c>
      <c r="J7" s="100"/>
      <c r="K7" s="101">
        <f>SUM(E72:E77)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1200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2300</v>
      </c>
      <c r="D10" s="19" t="s">
        <v>1147</v>
      </c>
      <c r="E10" s="49">
        <v>212.89</v>
      </c>
      <c r="F10" s="20" t="s">
        <v>9</v>
      </c>
      <c r="G10" s="21">
        <v>23821.13</v>
      </c>
      <c r="H10" s="6"/>
      <c r="I10" s="137" t="s">
        <v>1227</v>
      </c>
      <c r="J10" s="138"/>
      <c r="K10" s="139"/>
      <c r="L10" s="21">
        <v>150</v>
      </c>
    </row>
    <row r="11" spans="2:14" ht="21.6" customHeight="1" x14ac:dyDescent="0.25">
      <c r="B11" s="17" t="s">
        <v>453</v>
      </c>
      <c r="C11" s="18">
        <v>2030</v>
      </c>
      <c r="D11" s="22" t="s">
        <v>1221</v>
      </c>
      <c r="E11" s="50">
        <v>461.19</v>
      </c>
      <c r="F11" s="23" t="s">
        <v>454</v>
      </c>
      <c r="G11" s="24"/>
      <c r="H11" s="6"/>
      <c r="I11" s="140" t="s">
        <v>1222</v>
      </c>
      <c r="J11" s="141"/>
      <c r="K11" s="142"/>
      <c r="L11" s="21">
        <v>65</v>
      </c>
    </row>
    <row r="12" spans="2:14" ht="21.6" customHeight="1" x14ac:dyDescent="0.25">
      <c r="B12" s="17"/>
      <c r="C12" s="18"/>
      <c r="D12" s="22"/>
      <c r="E12" s="50"/>
      <c r="F12" s="23"/>
      <c r="G12" s="24"/>
      <c r="H12" s="6"/>
      <c r="I12" s="143" t="s">
        <v>1223</v>
      </c>
      <c r="J12" s="144"/>
      <c r="K12" s="145"/>
      <c r="L12" s="21">
        <v>80</v>
      </c>
    </row>
    <row r="13" spans="2:14" ht="21.6" customHeight="1" x14ac:dyDescent="0.25">
      <c r="B13" s="17"/>
      <c r="C13" s="18"/>
      <c r="D13" s="22"/>
      <c r="E13" s="50"/>
      <c r="F13" s="23"/>
      <c r="G13" s="24"/>
      <c r="H13" s="6"/>
      <c r="I13" s="143" t="s">
        <v>1172</v>
      </c>
      <c r="J13" s="144"/>
      <c r="K13" s="145"/>
      <c r="L13" s="21">
        <v>250</v>
      </c>
    </row>
    <row r="14" spans="2:14" ht="21.6" customHeight="1" x14ac:dyDescent="0.25">
      <c r="B14" s="17" t="s">
        <v>455</v>
      </c>
      <c r="C14" s="18">
        <v>275</v>
      </c>
      <c r="D14" s="22"/>
      <c r="E14" s="50"/>
      <c r="F14" s="23"/>
      <c r="G14" s="24"/>
      <c r="H14" s="6"/>
      <c r="I14" s="140" t="s">
        <v>1224</v>
      </c>
      <c r="J14" s="141"/>
      <c r="K14" s="142"/>
      <c r="L14" s="24">
        <v>50</v>
      </c>
    </row>
    <row r="15" spans="2:14" ht="21.6" customHeight="1" x14ac:dyDescent="0.25">
      <c r="B15" s="17"/>
      <c r="C15" s="18"/>
      <c r="D15" s="22"/>
      <c r="E15" s="50"/>
      <c r="F15" s="23"/>
      <c r="G15" s="24"/>
      <c r="H15" s="6"/>
      <c r="I15" s="143" t="s">
        <v>1225</v>
      </c>
      <c r="J15" s="144"/>
      <c r="K15" s="145"/>
      <c r="L15" s="24">
        <v>85</v>
      </c>
    </row>
    <row r="16" spans="2:14" ht="23.1" customHeight="1" x14ac:dyDescent="0.25">
      <c r="B16" s="17" t="s">
        <v>10</v>
      </c>
      <c r="C16" s="18"/>
      <c r="D16" s="22"/>
      <c r="E16" s="50"/>
      <c r="F16" s="23"/>
      <c r="G16" s="24"/>
      <c r="H16" s="6"/>
      <c r="I16" s="140" t="s">
        <v>1226</v>
      </c>
      <c r="J16" s="141"/>
      <c r="K16" s="142"/>
      <c r="L16" s="24">
        <v>70</v>
      </c>
    </row>
    <row r="17" spans="1:12" ht="23.85" customHeight="1" x14ac:dyDescent="0.25">
      <c r="B17" s="25" t="s">
        <v>11</v>
      </c>
      <c r="C17" s="18">
        <f>SUM(C9:C16)</f>
        <v>5805</v>
      </c>
      <c r="D17" s="22"/>
      <c r="E17" s="50"/>
      <c r="F17" s="23"/>
      <c r="G17" s="24"/>
      <c r="H17" s="6"/>
      <c r="I17" s="140" t="s">
        <v>1228</v>
      </c>
      <c r="J17" s="141"/>
      <c r="K17" s="142"/>
      <c r="L17" s="24">
        <v>28</v>
      </c>
    </row>
    <row r="18" spans="1:12" ht="24.6" customHeight="1" thickBot="1" x14ac:dyDescent="0.3">
      <c r="B18" s="26" t="s">
        <v>456</v>
      </c>
      <c r="C18" s="27">
        <v>416</v>
      </c>
      <c r="D18" s="28" t="s">
        <v>11</v>
      </c>
      <c r="E18" s="29">
        <f>SUM(E10:E17)</f>
        <v>674.07999999999993</v>
      </c>
      <c r="F18" s="30" t="s">
        <v>11</v>
      </c>
      <c r="G18" s="31">
        <f>SUM(G10:G17)</f>
        <v>23821.13</v>
      </c>
      <c r="H18" s="6"/>
      <c r="I18" s="116" t="s">
        <v>457</v>
      </c>
      <c r="J18" s="117"/>
      <c r="K18" s="118"/>
      <c r="L18" s="32">
        <f>C18-'20'!C16</f>
        <v>125</v>
      </c>
    </row>
    <row r="19" spans="1:12" ht="16.5" thickBot="1" x14ac:dyDescent="0.3">
      <c r="D19" s="33"/>
      <c r="E19" s="33"/>
      <c r="F19" s="6"/>
      <c r="G19" s="6"/>
      <c r="I19" s="2"/>
      <c r="J19" s="2"/>
      <c r="K19" s="34" t="s">
        <v>11</v>
      </c>
      <c r="L19" s="35">
        <f>(SUM(L10:L18))*-1</f>
        <v>-903</v>
      </c>
    </row>
    <row r="20" spans="1:12" ht="16.5" thickBot="1" x14ac:dyDescent="0.3"/>
    <row r="21" spans="1:12" ht="16.5" thickBot="1" x14ac:dyDescent="0.3">
      <c r="A21" s="119" t="s">
        <v>12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1"/>
    </row>
    <row r="22" spans="1:12" ht="16.5" thickBot="1" x14ac:dyDescent="0.3">
      <c r="A22" s="73" t="s">
        <v>458</v>
      </c>
      <c r="B22" s="122" t="s">
        <v>459</v>
      </c>
      <c r="C22" s="123"/>
      <c r="D22" s="124"/>
      <c r="E22" s="36" t="s">
        <v>8</v>
      </c>
      <c r="F22" s="37" t="s">
        <v>13</v>
      </c>
      <c r="G22" s="38" t="s">
        <v>14</v>
      </c>
      <c r="H22" s="125" t="s">
        <v>15</v>
      </c>
      <c r="I22" s="126"/>
      <c r="J22" s="126"/>
      <c r="K22" s="127"/>
      <c r="L22" s="39" t="s">
        <v>16</v>
      </c>
    </row>
    <row r="23" spans="1:12" x14ac:dyDescent="0.25">
      <c r="A23" s="66" t="s">
        <v>201</v>
      </c>
      <c r="B23" s="128" t="s">
        <v>1182</v>
      </c>
      <c r="C23" s="129"/>
      <c r="D23" s="130"/>
      <c r="E23" s="20">
        <v>341.09</v>
      </c>
      <c r="F23" s="12" t="s">
        <v>44</v>
      </c>
      <c r="G23" s="51">
        <v>2722684</v>
      </c>
      <c r="H23" s="131"/>
      <c r="I23" s="132"/>
      <c r="J23" s="132"/>
      <c r="K23" s="133"/>
      <c r="L23" s="20" t="s">
        <v>33</v>
      </c>
    </row>
    <row r="24" spans="1:12" x14ac:dyDescent="0.25">
      <c r="A24" s="66" t="s">
        <v>1194</v>
      </c>
      <c r="B24" s="143" t="s">
        <v>1193</v>
      </c>
      <c r="C24" s="144"/>
      <c r="D24" s="145"/>
      <c r="E24" s="20">
        <v>2150.33</v>
      </c>
      <c r="F24" s="23" t="s">
        <v>75</v>
      </c>
      <c r="G24" s="52">
        <v>155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211</v>
      </c>
      <c r="B25" s="143" t="s">
        <v>210</v>
      </c>
      <c r="C25" s="144"/>
      <c r="D25" s="145"/>
      <c r="E25" s="20">
        <v>260.41000000000003</v>
      </c>
      <c r="F25" s="23" t="s">
        <v>56</v>
      </c>
      <c r="G25" s="52">
        <v>9427206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55</v>
      </c>
      <c r="B26" s="143" t="s">
        <v>1195</v>
      </c>
      <c r="C26" s="144"/>
      <c r="D26" s="145"/>
      <c r="E26" s="20">
        <v>263.57</v>
      </c>
      <c r="F26" s="23" t="s">
        <v>56</v>
      </c>
      <c r="G26" s="52">
        <v>9427109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391</v>
      </c>
      <c r="B27" s="143" t="s">
        <v>1204</v>
      </c>
      <c r="C27" s="144"/>
      <c r="D27" s="145"/>
      <c r="E27" s="20">
        <v>322.72000000000003</v>
      </c>
      <c r="F27" s="23" t="s">
        <v>393</v>
      </c>
      <c r="G27" s="52">
        <v>6375632</v>
      </c>
      <c r="H27" s="146"/>
      <c r="I27" s="147"/>
      <c r="J27" s="147"/>
      <c r="K27" s="148"/>
      <c r="L27" s="23" t="s">
        <v>71</v>
      </c>
    </row>
    <row r="28" spans="1:12" x14ac:dyDescent="0.25">
      <c r="A28" s="66" t="s">
        <v>1206</v>
      </c>
      <c r="B28" s="143" t="s">
        <v>1205</v>
      </c>
      <c r="C28" s="144"/>
      <c r="D28" s="145"/>
      <c r="E28" s="20">
        <v>687.21</v>
      </c>
      <c r="F28" s="23" t="s">
        <v>1203</v>
      </c>
      <c r="G28" s="52">
        <v>6786167</v>
      </c>
      <c r="H28" s="146"/>
      <c r="I28" s="147"/>
      <c r="J28" s="147"/>
      <c r="K28" s="148"/>
      <c r="L28" s="23" t="s">
        <v>71</v>
      </c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23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23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x14ac:dyDescent="0.25">
      <c r="A37" s="66"/>
      <c r="B37" s="143"/>
      <c r="C37" s="144"/>
      <c r="D37" s="145"/>
      <c r="E37" s="20"/>
      <c r="F37" s="23"/>
      <c r="G37" s="52"/>
      <c r="H37" s="146"/>
      <c r="I37" s="147"/>
      <c r="J37" s="147"/>
      <c r="K37" s="148"/>
      <c r="L37" s="17"/>
    </row>
    <row r="38" spans="1:12" x14ac:dyDescent="0.25">
      <c r="A38" s="66"/>
      <c r="B38" s="143"/>
      <c r="C38" s="144"/>
      <c r="D38" s="145"/>
      <c r="E38" s="20"/>
      <c r="F38" s="23"/>
      <c r="G38" s="52"/>
      <c r="H38" s="146"/>
      <c r="I38" s="147"/>
      <c r="J38" s="147"/>
      <c r="K38" s="148"/>
      <c r="L38" s="17"/>
    </row>
    <row r="39" spans="1:12" ht="16.5" thickBot="1" x14ac:dyDescent="0.3">
      <c r="A39" s="66"/>
      <c r="B39" s="149"/>
      <c r="C39" s="150"/>
      <c r="D39" s="151"/>
      <c r="E39" s="20"/>
      <c r="F39" s="29"/>
      <c r="G39" s="53"/>
      <c r="H39" s="152"/>
      <c r="I39" s="153"/>
      <c r="J39" s="153"/>
      <c r="K39" s="154"/>
      <c r="L39" s="29"/>
    </row>
    <row r="40" spans="1:12" ht="16.5" thickBot="1" x14ac:dyDescent="0.3">
      <c r="A40" s="72" t="s">
        <v>458</v>
      </c>
      <c r="B40" s="155" t="s">
        <v>460</v>
      </c>
      <c r="C40" s="156"/>
      <c r="D40" s="157"/>
      <c r="E40" s="36" t="s">
        <v>8</v>
      </c>
      <c r="F40" s="119" t="s">
        <v>15</v>
      </c>
      <c r="G40" s="120"/>
      <c r="H40" s="120"/>
      <c r="I40" s="120"/>
      <c r="J40" s="120"/>
      <c r="K40" s="121"/>
      <c r="L40" s="40" t="s">
        <v>16</v>
      </c>
    </row>
    <row r="41" spans="1:12" x14ac:dyDescent="0.25">
      <c r="A41" s="66"/>
      <c r="B41" s="128" t="s">
        <v>1215</v>
      </c>
      <c r="C41" s="129"/>
      <c r="D41" s="162"/>
      <c r="E41" s="41">
        <v>50</v>
      </c>
      <c r="F41" s="163" t="s">
        <v>1216</v>
      </c>
      <c r="G41" s="164"/>
      <c r="H41" s="164"/>
      <c r="I41" s="164"/>
      <c r="J41" s="164"/>
      <c r="K41" s="165"/>
      <c r="L41" s="42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17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x14ac:dyDescent="0.25">
      <c r="A47" s="66"/>
      <c r="B47" s="143"/>
      <c r="C47" s="144"/>
      <c r="D47" s="158"/>
      <c r="E47" s="43"/>
      <c r="F47" s="159"/>
      <c r="G47" s="160"/>
      <c r="H47" s="160"/>
      <c r="I47" s="160"/>
      <c r="J47" s="160"/>
      <c r="K47" s="161"/>
      <c r="L47" s="23"/>
    </row>
    <row r="48" spans="1:12" x14ac:dyDescent="0.25">
      <c r="A48" s="66"/>
      <c r="B48" s="143"/>
      <c r="C48" s="144"/>
      <c r="D48" s="158"/>
      <c r="E48" s="43"/>
      <c r="F48" s="159"/>
      <c r="G48" s="160"/>
      <c r="H48" s="160"/>
      <c r="I48" s="160"/>
      <c r="J48" s="160"/>
      <c r="K48" s="161"/>
      <c r="L48" s="23"/>
    </row>
    <row r="49" spans="1:12" ht="16.5" thickBot="1" x14ac:dyDescent="0.3">
      <c r="A49" s="66"/>
      <c r="B49" s="149"/>
      <c r="C49" s="150"/>
      <c r="D49" s="169"/>
      <c r="E49" s="43"/>
      <c r="F49" s="170"/>
      <c r="G49" s="171"/>
      <c r="H49" s="171"/>
      <c r="I49" s="171"/>
      <c r="J49" s="171"/>
      <c r="K49" s="172"/>
      <c r="L49" s="44"/>
    </row>
    <row r="50" spans="1:12" ht="16.5" thickBot="1" x14ac:dyDescent="0.3">
      <c r="A50" s="71" t="s">
        <v>458</v>
      </c>
      <c r="B50" s="166" t="s">
        <v>461</v>
      </c>
      <c r="C50" s="167"/>
      <c r="D50" s="168"/>
      <c r="E50" s="36" t="s">
        <v>8</v>
      </c>
      <c r="F50" s="119" t="s">
        <v>15</v>
      </c>
      <c r="G50" s="120"/>
      <c r="H50" s="120"/>
      <c r="I50" s="120"/>
      <c r="J50" s="120"/>
      <c r="K50" s="121"/>
      <c r="L50" s="39" t="s">
        <v>16</v>
      </c>
    </row>
    <row r="51" spans="1:12" x14ac:dyDescent="0.25">
      <c r="A51" s="66"/>
      <c r="B51" s="143" t="s">
        <v>1156</v>
      </c>
      <c r="C51" s="144"/>
      <c r="D51" s="158"/>
      <c r="E51" s="43">
        <v>418.93</v>
      </c>
      <c r="F51" s="86">
        <v>2.61</v>
      </c>
      <c r="G51" s="18">
        <v>416.32</v>
      </c>
      <c r="H51" s="160" t="s">
        <v>1171</v>
      </c>
      <c r="I51" s="160"/>
      <c r="J51" s="160"/>
      <c r="K51" s="161"/>
      <c r="L51" s="20" t="s">
        <v>33</v>
      </c>
    </row>
    <row r="52" spans="1:12" x14ac:dyDescent="0.25">
      <c r="A52" s="66"/>
      <c r="B52" s="143" t="s">
        <v>1157</v>
      </c>
      <c r="C52" s="144"/>
      <c r="D52" s="158"/>
      <c r="E52" s="43">
        <v>1398.24</v>
      </c>
      <c r="F52" s="86">
        <v>28.21</v>
      </c>
      <c r="G52" s="18">
        <v>1370.03</v>
      </c>
      <c r="H52" s="160" t="s">
        <v>1171</v>
      </c>
      <c r="I52" s="160"/>
      <c r="J52" s="160"/>
      <c r="K52" s="161"/>
      <c r="L52" s="20" t="s">
        <v>33</v>
      </c>
    </row>
    <row r="53" spans="1:12" x14ac:dyDescent="0.25">
      <c r="A53" s="66"/>
      <c r="B53" s="143" t="s">
        <v>1158</v>
      </c>
      <c r="C53" s="144"/>
      <c r="D53" s="158"/>
      <c r="E53" s="43">
        <v>548.20000000000005</v>
      </c>
      <c r="F53" s="86">
        <v>3.39</v>
      </c>
      <c r="G53" s="18">
        <v>544.80999999999995</v>
      </c>
      <c r="H53" s="160" t="s">
        <v>1171</v>
      </c>
      <c r="I53" s="160"/>
      <c r="J53" s="160"/>
      <c r="K53" s="161"/>
      <c r="L53" s="20" t="s">
        <v>33</v>
      </c>
    </row>
    <row r="54" spans="1:12" x14ac:dyDescent="0.25">
      <c r="A54" s="66"/>
      <c r="B54" s="143" t="s">
        <v>1159</v>
      </c>
      <c r="C54" s="144"/>
      <c r="D54" s="158"/>
      <c r="E54" s="43">
        <v>419.79</v>
      </c>
      <c r="F54" s="86">
        <v>2.62</v>
      </c>
      <c r="G54" s="18">
        <v>417.17</v>
      </c>
      <c r="H54" s="160" t="s">
        <v>1171</v>
      </c>
      <c r="I54" s="160"/>
      <c r="J54" s="160"/>
      <c r="K54" s="161"/>
      <c r="L54" s="20" t="s">
        <v>33</v>
      </c>
    </row>
    <row r="55" spans="1:12" x14ac:dyDescent="0.25">
      <c r="A55" s="66"/>
      <c r="B55" s="143" t="s">
        <v>1160</v>
      </c>
      <c r="C55" s="144"/>
      <c r="D55" s="158"/>
      <c r="E55" s="43">
        <v>1911.68</v>
      </c>
      <c r="F55" s="86">
        <v>11.57</v>
      </c>
      <c r="G55" s="18">
        <v>1900.11</v>
      </c>
      <c r="H55" s="160" t="s">
        <v>1171</v>
      </c>
      <c r="I55" s="160"/>
      <c r="J55" s="160"/>
      <c r="K55" s="161"/>
      <c r="L55" s="20" t="s">
        <v>33</v>
      </c>
    </row>
    <row r="56" spans="1:12" x14ac:dyDescent="0.25">
      <c r="A56" s="66"/>
      <c r="B56" s="143" t="s">
        <v>1161</v>
      </c>
      <c r="C56" s="144"/>
      <c r="D56" s="158"/>
      <c r="E56" s="43">
        <v>470.59</v>
      </c>
      <c r="F56" s="86">
        <v>2.92</v>
      </c>
      <c r="G56" s="18">
        <v>467.67</v>
      </c>
      <c r="H56" s="160" t="s">
        <v>1171</v>
      </c>
      <c r="I56" s="160"/>
      <c r="J56" s="160"/>
      <c r="K56" s="161"/>
      <c r="L56" s="20" t="s">
        <v>33</v>
      </c>
    </row>
    <row r="57" spans="1:12" x14ac:dyDescent="0.25">
      <c r="A57" s="66"/>
      <c r="B57" s="143" t="s">
        <v>1162</v>
      </c>
      <c r="C57" s="144"/>
      <c r="D57" s="158"/>
      <c r="E57" s="43">
        <v>328.54</v>
      </c>
      <c r="F57" s="86">
        <v>2.0699999999999998</v>
      </c>
      <c r="G57" s="18">
        <v>326.47000000000003</v>
      </c>
      <c r="H57" s="160" t="s">
        <v>1171</v>
      </c>
      <c r="I57" s="160"/>
      <c r="J57" s="160"/>
      <c r="K57" s="161"/>
      <c r="L57" s="20" t="s">
        <v>33</v>
      </c>
    </row>
    <row r="58" spans="1:12" x14ac:dyDescent="0.25">
      <c r="A58" s="66"/>
      <c r="B58" s="143" t="s">
        <v>1163</v>
      </c>
      <c r="C58" s="144"/>
      <c r="D58" s="158"/>
      <c r="E58" s="43">
        <v>360.35</v>
      </c>
      <c r="F58" s="86">
        <v>7.46</v>
      </c>
      <c r="G58" s="18">
        <v>352.89</v>
      </c>
      <c r="H58" s="160" t="s">
        <v>1171</v>
      </c>
      <c r="I58" s="160"/>
      <c r="J58" s="160"/>
      <c r="K58" s="161"/>
      <c r="L58" s="20" t="s">
        <v>33</v>
      </c>
    </row>
    <row r="59" spans="1:12" x14ac:dyDescent="0.25">
      <c r="A59" s="66"/>
      <c r="B59" s="143" t="s">
        <v>1164</v>
      </c>
      <c r="C59" s="144"/>
      <c r="D59" s="158"/>
      <c r="E59" s="43">
        <v>484.42</v>
      </c>
      <c r="F59" s="86">
        <v>9.94</v>
      </c>
      <c r="G59" s="18">
        <v>474.48</v>
      </c>
      <c r="H59" s="160" t="s">
        <v>1171</v>
      </c>
      <c r="I59" s="160"/>
      <c r="J59" s="160"/>
      <c r="K59" s="161"/>
      <c r="L59" s="20" t="s">
        <v>33</v>
      </c>
    </row>
    <row r="60" spans="1:12" x14ac:dyDescent="0.25">
      <c r="A60" s="66"/>
      <c r="B60" s="143" t="s">
        <v>1165</v>
      </c>
      <c r="C60" s="144"/>
      <c r="D60" s="158"/>
      <c r="E60" s="43">
        <v>321.13</v>
      </c>
      <c r="F60" s="86">
        <v>6.67</v>
      </c>
      <c r="G60" s="18">
        <v>314.45999999999998</v>
      </c>
      <c r="H60" s="160" t="s">
        <v>1171</v>
      </c>
      <c r="I60" s="160"/>
      <c r="J60" s="160"/>
      <c r="K60" s="161"/>
      <c r="L60" s="20" t="s">
        <v>33</v>
      </c>
    </row>
    <row r="61" spans="1:12" x14ac:dyDescent="0.25">
      <c r="A61" s="66"/>
      <c r="B61" s="143" t="s">
        <v>1166</v>
      </c>
      <c r="C61" s="144"/>
      <c r="D61" s="158"/>
      <c r="E61" s="43">
        <v>381.79</v>
      </c>
      <c r="F61" s="86">
        <v>2.39</v>
      </c>
      <c r="G61" s="18">
        <v>379.4</v>
      </c>
      <c r="H61" s="160" t="s">
        <v>1171</v>
      </c>
      <c r="I61" s="160"/>
      <c r="J61" s="160"/>
      <c r="K61" s="161"/>
      <c r="L61" s="20" t="s">
        <v>33</v>
      </c>
    </row>
    <row r="62" spans="1:12" x14ac:dyDescent="0.25">
      <c r="A62" s="66"/>
      <c r="B62" s="143" t="s">
        <v>1167</v>
      </c>
      <c r="C62" s="144"/>
      <c r="D62" s="158"/>
      <c r="E62" s="43">
        <v>326.18</v>
      </c>
      <c r="F62" s="86">
        <v>2.06</v>
      </c>
      <c r="G62" s="18">
        <v>324.12</v>
      </c>
      <c r="H62" s="160" t="s">
        <v>1171</v>
      </c>
      <c r="I62" s="160"/>
      <c r="J62" s="160"/>
      <c r="K62" s="161"/>
      <c r="L62" s="20" t="s">
        <v>33</v>
      </c>
    </row>
    <row r="63" spans="1:12" x14ac:dyDescent="0.25">
      <c r="A63" s="66"/>
      <c r="B63" s="143" t="s">
        <v>1168</v>
      </c>
      <c r="C63" s="144"/>
      <c r="D63" s="158"/>
      <c r="E63" s="43">
        <v>891.08</v>
      </c>
      <c r="F63" s="86">
        <v>5.45</v>
      </c>
      <c r="G63" s="18">
        <v>885.63</v>
      </c>
      <c r="H63" s="160" t="s">
        <v>1171</v>
      </c>
      <c r="I63" s="160"/>
      <c r="J63" s="160"/>
      <c r="K63" s="161"/>
      <c r="L63" s="20" t="s">
        <v>33</v>
      </c>
    </row>
    <row r="64" spans="1:12" x14ac:dyDescent="0.25">
      <c r="A64" s="66"/>
      <c r="B64" s="143" t="s">
        <v>1169</v>
      </c>
      <c r="C64" s="144"/>
      <c r="D64" s="158"/>
      <c r="E64" s="43">
        <v>527.91999999999996</v>
      </c>
      <c r="F64" s="86">
        <v>3.27</v>
      </c>
      <c r="G64" s="18">
        <v>524.65</v>
      </c>
      <c r="H64" s="160" t="s">
        <v>1171</v>
      </c>
      <c r="I64" s="160"/>
      <c r="J64" s="160"/>
      <c r="K64" s="161"/>
      <c r="L64" s="20" t="s">
        <v>33</v>
      </c>
    </row>
    <row r="65" spans="1:12" ht="16.5" thickBot="1" x14ac:dyDescent="0.3">
      <c r="A65" s="66"/>
      <c r="B65" s="143" t="s">
        <v>1170</v>
      </c>
      <c r="C65" s="144"/>
      <c r="D65" s="158"/>
      <c r="E65" s="43">
        <v>355.19</v>
      </c>
      <c r="F65" s="86">
        <v>2.23</v>
      </c>
      <c r="G65" s="18">
        <v>352.96</v>
      </c>
      <c r="H65" s="160" t="s">
        <v>1171</v>
      </c>
      <c r="I65" s="160"/>
      <c r="J65" s="160"/>
      <c r="K65" s="161"/>
      <c r="L65" s="20" t="s">
        <v>33</v>
      </c>
    </row>
    <row r="66" spans="1:12" ht="16.5" thickBot="1" x14ac:dyDescent="0.3">
      <c r="A66" s="71" t="s">
        <v>458</v>
      </c>
      <c r="B66" s="166" t="s">
        <v>462</v>
      </c>
      <c r="C66" s="167"/>
      <c r="D66" s="168"/>
      <c r="E66" s="36" t="s">
        <v>8</v>
      </c>
      <c r="F66" s="119" t="s">
        <v>15</v>
      </c>
      <c r="G66" s="120"/>
      <c r="H66" s="120"/>
      <c r="I66" s="120"/>
      <c r="J66" s="120"/>
      <c r="K66" s="121"/>
      <c r="L66" s="39" t="s">
        <v>16</v>
      </c>
    </row>
    <row r="67" spans="1:12" x14ac:dyDescent="0.25">
      <c r="A67" s="66" t="s">
        <v>1217</v>
      </c>
      <c r="B67" s="143" t="s">
        <v>1218</v>
      </c>
      <c r="C67" s="144">
        <v>802.36</v>
      </c>
      <c r="D67" s="158" t="s">
        <v>18</v>
      </c>
      <c r="E67" s="43">
        <v>163.76</v>
      </c>
      <c r="F67" s="163" t="s">
        <v>516</v>
      </c>
      <c r="G67" s="164"/>
      <c r="H67" s="164"/>
      <c r="I67" s="164"/>
      <c r="J67" s="164"/>
      <c r="K67" s="165"/>
      <c r="L67" s="20" t="s">
        <v>71</v>
      </c>
    </row>
    <row r="68" spans="1:12" x14ac:dyDescent="0.25">
      <c r="A68" s="66" t="s">
        <v>1217</v>
      </c>
      <c r="B68" s="143" t="s">
        <v>1218</v>
      </c>
      <c r="C68" s="144">
        <v>675.28</v>
      </c>
      <c r="D68" s="158" t="s">
        <v>19</v>
      </c>
      <c r="E68" s="43">
        <v>52.64</v>
      </c>
      <c r="F68" s="159" t="s">
        <v>516</v>
      </c>
      <c r="G68" s="160"/>
      <c r="H68" s="160"/>
      <c r="I68" s="160"/>
      <c r="J68" s="160"/>
      <c r="K68" s="161"/>
      <c r="L68" s="23" t="s">
        <v>71</v>
      </c>
    </row>
    <row r="69" spans="1:12" x14ac:dyDescent="0.25">
      <c r="A69" s="66"/>
      <c r="B69" s="143"/>
      <c r="C69" s="144">
        <v>689.72</v>
      </c>
      <c r="D69" s="158" t="s">
        <v>19</v>
      </c>
      <c r="E69" s="43"/>
      <c r="F69" s="159"/>
      <c r="G69" s="160"/>
      <c r="H69" s="160"/>
      <c r="I69" s="160"/>
      <c r="J69" s="160"/>
      <c r="K69" s="161"/>
      <c r="L69" s="23"/>
    </row>
    <row r="70" spans="1:12" ht="16.5" thickBot="1" x14ac:dyDescent="0.3">
      <c r="A70" s="66"/>
      <c r="B70" s="143"/>
      <c r="C70" s="144">
        <v>340.26</v>
      </c>
      <c r="D70" s="158" t="s">
        <v>20</v>
      </c>
      <c r="E70" s="43"/>
      <c r="F70" s="159"/>
      <c r="G70" s="160"/>
      <c r="H70" s="160"/>
      <c r="I70" s="160"/>
      <c r="J70" s="160"/>
      <c r="K70" s="161"/>
      <c r="L70" s="23"/>
    </row>
    <row r="71" spans="1:12" ht="16.5" thickBot="1" x14ac:dyDescent="0.3">
      <c r="A71" s="71" t="s">
        <v>458</v>
      </c>
      <c r="B71" s="166" t="s">
        <v>17</v>
      </c>
      <c r="C71" s="167"/>
      <c r="D71" s="168"/>
      <c r="E71" s="36" t="s">
        <v>8</v>
      </c>
      <c r="F71" s="119" t="s">
        <v>15</v>
      </c>
      <c r="G71" s="120"/>
      <c r="H71" s="120"/>
      <c r="I71" s="120"/>
      <c r="J71" s="120"/>
      <c r="K71" s="121"/>
      <c r="L71" s="39" t="s">
        <v>16</v>
      </c>
    </row>
    <row r="72" spans="1:12" x14ac:dyDescent="0.25">
      <c r="A72" s="66"/>
      <c r="B72" s="128"/>
      <c r="C72" s="129"/>
      <c r="D72" s="162"/>
      <c r="E72" s="43"/>
      <c r="F72" s="163"/>
      <c r="G72" s="164"/>
      <c r="H72" s="164"/>
      <c r="I72" s="164"/>
      <c r="J72" s="164"/>
      <c r="K72" s="165"/>
      <c r="L72" s="23"/>
    </row>
    <row r="73" spans="1:12" x14ac:dyDescent="0.25">
      <c r="A73" s="66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44"/>
    </row>
    <row r="74" spans="1:12" x14ac:dyDescent="0.25">
      <c r="A74" s="66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44"/>
    </row>
    <row r="75" spans="1:12" x14ac:dyDescent="0.25">
      <c r="A75" s="66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44"/>
    </row>
    <row r="76" spans="1:12" x14ac:dyDescent="0.25">
      <c r="A76" s="66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44"/>
    </row>
    <row r="77" spans="1:12" ht="16.5" thickBot="1" x14ac:dyDescent="0.3">
      <c r="A77" s="67"/>
      <c r="B77" s="149"/>
      <c r="C77" s="150"/>
      <c r="D77" s="169"/>
      <c r="E77" s="43"/>
      <c r="F77" s="170"/>
      <c r="G77" s="171"/>
      <c r="H77" s="171"/>
      <c r="I77" s="171"/>
      <c r="J77" s="171"/>
      <c r="K77" s="172"/>
      <c r="L77" s="29"/>
    </row>
    <row r="78" spans="1:12" ht="16.5" thickBot="1" x14ac:dyDescent="0.3">
      <c r="A78" s="70" t="s">
        <v>458</v>
      </c>
      <c r="B78" s="173" t="s">
        <v>463</v>
      </c>
      <c r="C78" s="174"/>
      <c r="D78" s="175"/>
      <c r="E78" s="36" t="s">
        <v>8</v>
      </c>
      <c r="F78" s="119" t="s">
        <v>15</v>
      </c>
      <c r="G78" s="120"/>
      <c r="H78" s="120"/>
      <c r="I78" s="120"/>
      <c r="J78" s="120"/>
      <c r="K78" s="121"/>
      <c r="L78" s="39" t="s">
        <v>16</v>
      </c>
    </row>
    <row r="79" spans="1:12" ht="16.5" thickBot="1" x14ac:dyDescent="0.3">
      <c r="A79" s="17" t="s">
        <v>311</v>
      </c>
      <c r="B79" s="128" t="s">
        <v>1174</v>
      </c>
      <c r="C79" s="129"/>
      <c r="D79" s="162"/>
      <c r="E79" s="43">
        <v>538.01</v>
      </c>
      <c r="F79" s="163"/>
      <c r="G79" s="164"/>
      <c r="H79" s="164"/>
      <c r="I79" s="164"/>
      <c r="J79" s="164"/>
      <c r="K79" s="165"/>
      <c r="L79" s="23" t="s">
        <v>33</v>
      </c>
    </row>
    <row r="80" spans="1:12" x14ac:dyDescent="0.25">
      <c r="A80" s="17" t="s">
        <v>1175</v>
      </c>
      <c r="B80" s="128" t="s">
        <v>435</v>
      </c>
      <c r="C80" s="129"/>
      <c r="D80" s="162"/>
      <c r="E80" s="43">
        <v>572.69000000000005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17" t="s">
        <v>1177</v>
      </c>
      <c r="B81" s="143" t="s">
        <v>1176</v>
      </c>
      <c r="C81" s="144"/>
      <c r="D81" s="158"/>
      <c r="E81" s="43">
        <v>3164.37</v>
      </c>
      <c r="F81" s="159"/>
      <c r="G81" s="160"/>
      <c r="H81" s="160"/>
      <c r="I81" s="160"/>
      <c r="J81" s="160"/>
      <c r="K81" s="161"/>
      <c r="L81" s="23" t="s">
        <v>33</v>
      </c>
    </row>
    <row r="82" spans="1:12" x14ac:dyDescent="0.25">
      <c r="A82" s="17" t="s">
        <v>282</v>
      </c>
      <c r="B82" s="143" t="s">
        <v>1178</v>
      </c>
      <c r="C82" s="144"/>
      <c r="D82" s="158"/>
      <c r="E82" s="43">
        <v>464.82</v>
      </c>
      <c r="F82" s="159"/>
      <c r="G82" s="160"/>
      <c r="H82" s="160"/>
      <c r="I82" s="160"/>
      <c r="J82" s="160"/>
      <c r="K82" s="161"/>
      <c r="L82" s="23" t="s">
        <v>33</v>
      </c>
    </row>
    <row r="83" spans="1:12" x14ac:dyDescent="0.25">
      <c r="A83" s="17" t="s">
        <v>196</v>
      </c>
      <c r="B83" s="143" t="s">
        <v>1179</v>
      </c>
      <c r="C83" s="144"/>
      <c r="D83" s="158"/>
      <c r="E83" s="43">
        <v>2016</v>
      </c>
      <c r="F83" s="159"/>
      <c r="G83" s="160"/>
      <c r="H83" s="160"/>
      <c r="I83" s="160"/>
      <c r="J83" s="160"/>
      <c r="K83" s="161"/>
      <c r="L83" s="23" t="s">
        <v>33</v>
      </c>
    </row>
    <row r="84" spans="1:12" x14ac:dyDescent="0.25">
      <c r="A84" s="17" t="s">
        <v>1181</v>
      </c>
      <c r="B84" s="143" t="s">
        <v>1180</v>
      </c>
      <c r="C84" s="144"/>
      <c r="D84" s="158"/>
      <c r="E84" s="43">
        <v>1092.5899999999999</v>
      </c>
      <c r="F84" s="159"/>
      <c r="G84" s="160"/>
      <c r="H84" s="160"/>
      <c r="I84" s="160"/>
      <c r="J84" s="160"/>
      <c r="K84" s="161"/>
      <c r="L84" s="23" t="s">
        <v>33</v>
      </c>
    </row>
    <row r="85" spans="1:12" x14ac:dyDescent="0.25">
      <c r="A85" s="17" t="s">
        <v>1184</v>
      </c>
      <c r="B85" s="143" t="s">
        <v>1183</v>
      </c>
      <c r="C85" s="144"/>
      <c r="D85" s="158"/>
      <c r="E85" s="43">
        <v>2684.31</v>
      </c>
      <c r="F85" s="159" t="s">
        <v>1185</v>
      </c>
      <c r="G85" s="160"/>
      <c r="H85" s="160"/>
      <c r="I85" s="160"/>
      <c r="J85" s="160"/>
      <c r="K85" s="161"/>
      <c r="L85" s="23" t="s">
        <v>33</v>
      </c>
    </row>
    <row r="86" spans="1:12" x14ac:dyDescent="0.25">
      <c r="A86" s="17" t="s">
        <v>1186</v>
      </c>
      <c r="B86" s="143" t="s">
        <v>141</v>
      </c>
      <c r="C86" s="144"/>
      <c r="D86" s="158"/>
      <c r="E86" s="43">
        <v>4456.6000000000004</v>
      </c>
      <c r="F86" s="159" t="s">
        <v>1185</v>
      </c>
      <c r="G86" s="160"/>
      <c r="H86" s="160"/>
      <c r="I86" s="160"/>
      <c r="J86" s="160"/>
      <c r="K86" s="161"/>
      <c r="L86" s="23" t="s">
        <v>71</v>
      </c>
    </row>
    <row r="87" spans="1:12" x14ac:dyDescent="0.25">
      <c r="A87" s="17" t="s">
        <v>1188</v>
      </c>
      <c r="B87" s="74"/>
      <c r="C87" s="75" t="s">
        <v>1187</v>
      </c>
      <c r="D87" s="76"/>
      <c r="E87" s="43">
        <v>256.14</v>
      </c>
      <c r="F87" s="77"/>
      <c r="G87" s="78"/>
      <c r="H87" s="78"/>
      <c r="I87" s="78"/>
      <c r="J87" s="78"/>
      <c r="K87" s="79"/>
      <c r="L87" s="23" t="s">
        <v>33</v>
      </c>
    </row>
    <row r="88" spans="1:12" x14ac:dyDescent="0.25">
      <c r="A88" s="17" t="s">
        <v>1189</v>
      </c>
      <c r="B88" s="74"/>
      <c r="C88" s="75" t="s">
        <v>234</v>
      </c>
      <c r="D88" s="76"/>
      <c r="E88" s="43">
        <v>353.9</v>
      </c>
      <c r="F88" s="77"/>
      <c r="G88" s="78"/>
      <c r="H88" s="78"/>
      <c r="I88" s="78"/>
      <c r="J88" s="78"/>
      <c r="K88" s="79"/>
      <c r="L88" s="23" t="s">
        <v>33</v>
      </c>
    </row>
    <row r="89" spans="1:12" x14ac:dyDescent="0.25">
      <c r="A89" s="17" t="s">
        <v>1191</v>
      </c>
      <c r="B89" s="74"/>
      <c r="C89" s="75" t="s">
        <v>1190</v>
      </c>
      <c r="D89" s="76"/>
      <c r="E89" s="43">
        <v>2140.21</v>
      </c>
      <c r="F89" s="77"/>
      <c r="G89" s="78"/>
      <c r="H89" s="78"/>
      <c r="I89" s="78"/>
      <c r="J89" s="78"/>
      <c r="K89" s="79"/>
      <c r="L89" s="23" t="s">
        <v>33</v>
      </c>
    </row>
    <row r="90" spans="1:12" x14ac:dyDescent="0.25">
      <c r="A90" s="17" t="s">
        <v>331</v>
      </c>
      <c r="B90" s="74"/>
      <c r="C90" s="75" t="s">
        <v>1192</v>
      </c>
      <c r="D90" s="76"/>
      <c r="E90" s="43">
        <v>599.85</v>
      </c>
      <c r="F90" s="77"/>
      <c r="G90" s="78"/>
      <c r="H90" s="78"/>
      <c r="I90" s="78"/>
      <c r="J90" s="78"/>
      <c r="K90" s="79"/>
      <c r="L90" s="23" t="s">
        <v>33</v>
      </c>
    </row>
    <row r="91" spans="1:12" x14ac:dyDescent="0.25">
      <c r="A91" s="17" t="s">
        <v>317</v>
      </c>
      <c r="B91" s="74"/>
      <c r="C91" s="75" t="s">
        <v>316</v>
      </c>
      <c r="D91" s="76"/>
      <c r="E91" s="43">
        <v>1221.3499999999999</v>
      </c>
      <c r="F91" s="77"/>
      <c r="G91" s="78"/>
      <c r="H91" s="78"/>
      <c r="I91" s="78"/>
      <c r="J91" s="78"/>
      <c r="K91" s="79"/>
      <c r="L91" s="23" t="s">
        <v>33</v>
      </c>
    </row>
    <row r="92" spans="1:12" x14ac:dyDescent="0.25">
      <c r="A92" s="17" t="s">
        <v>1197</v>
      </c>
      <c r="B92" s="143" t="s">
        <v>1196</v>
      </c>
      <c r="C92" s="144"/>
      <c r="D92" s="158"/>
      <c r="E92" s="43">
        <v>553.58000000000004</v>
      </c>
      <c r="F92" s="159"/>
      <c r="G92" s="160"/>
      <c r="H92" s="160"/>
      <c r="I92" s="160"/>
      <c r="J92" s="160"/>
      <c r="K92" s="161"/>
      <c r="L92" s="23" t="s">
        <v>33</v>
      </c>
    </row>
    <row r="93" spans="1:12" x14ac:dyDescent="0.25">
      <c r="A93" s="17" t="s">
        <v>42</v>
      </c>
      <c r="B93" s="143" t="s">
        <v>1198</v>
      </c>
      <c r="C93" s="144"/>
      <c r="D93" s="158"/>
      <c r="E93" s="43">
        <v>335.95</v>
      </c>
      <c r="F93" s="159"/>
      <c r="G93" s="160"/>
      <c r="H93" s="160"/>
      <c r="I93" s="160"/>
      <c r="J93" s="160"/>
      <c r="K93" s="161"/>
      <c r="L93" s="17" t="s">
        <v>33</v>
      </c>
    </row>
    <row r="94" spans="1:12" x14ac:dyDescent="0.25">
      <c r="A94" s="17" t="s">
        <v>140</v>
      </c>
      <c r="B94" s="74"/>
      <c r="C94" s="75" t="s">
        <v>1199</v>
      </c>
      <c r="D94" s="76"/>
      <c r="E94" s="43">
        <v>994.33</v>
      </c>
      <c r="F94" s="77"/>
      <c r="G94" s="78"/>
      <c r="H94" s="78"/>
      <c r="I94" s="78"/>
      <c r="J94" s="78"/>
      <c r="K94" s="79"/>
      <c r="L94" s="17" t="s">
        <v>33</v>
      </c>
    </row>
    <row r="95" spans="1:12" x14ac:dyDescent="0.25">
      <c r="A95" s="17" t="s">
        <v>299</v>
      </c>
      <c r="B95" s="74"/>
      <c r="C95" s="75" t="s">
        <v>1200</v>
      </c>
      <c r="D95" s="76"/>
      <c r="E95" s="43">
        <v>669.22</v>
      </c>
      <c r="F95" s="77"/>
      <c r="G95" s="78"/>
      <c r="H95" s="78"/>
      <c r="I95" s="78"/>
      <c r="J95" s="78"/>
      <c r="K95" s="79"/>
      <c r="L95" s="17" t="s">
        <v>71</v>
      </c>
    </row>
    <row r="96" spans="1:12" x14ac:dyDescent="0.25">
      <c r="A96" s="17" t="s">
        <v>1202</v>
      </c>
      <c r="B96" s="74"/>
      <c r="C96" s="75" t="s">
        <v>1201</v>
      </c>
      <c r="D96" s="76"/>
      <c r="E96" s="43">
        <v>392.51</v>
      </c>
      <c r="F96" s="77"/>
      <c r="G96" s="78"/>
      <c r="H96" s="78"/>
      <c r="I96" s="78"/>
      <c r="J96" s="78"/>
      <c r="K96" s="79"/>
      <c r="L96" s="17" t="s">
        <v>71</v>
      </c>
    </row>
    <row r="97" spans="1:12" x14ac:dyDescent="0.25">
      <c r="A97" s="17" t="s">
        <v>1208</v>
      </c>
      <c r="B97" s="74"/>
      <c r="C97" s="75" t="s">
        <v>1207</v>
      </c>
      <c r="D97" s="76"/>
      <c r="E97" s="43">
        <v>1192.3900000000001</v>
      </c>
      <c r="F97" s="77"/>
      <c r="G97" s="78"/>
      <c r="H97" s="78"/>
      <c r="I97" s="78"/>
      <c r="J97" s="78"/>
      <c r="K97" s="79"/>
      <c r="L97" s="17" t="s">
        <v>71</v>
      </c>
    </row>
    <row r="98" spans="1:12" x14ac:dyDescent="0.25">
      <c r="A98" s="17" t="s">
        <v>1209</v>
      </c>
      <c r="B98" s="74"/>
      <c r="C98" s="75" t="s">
        <v>986</v>
      </c>
      <c r="D98" s="76"/>
      <c r="E98" s="43">
        <v>569.49</v>
      </c>
      <c r="F98" s="77"/>
      <c r="G98" s="78"/>
      <c r="H98" s="78"/>
      <c r="I98" s="78"/>
      <c r="J98" s="78"/>
      <c r="K98" s="79"/>
      <c r="L98" s="17" t="s">
        <v>71</v>
      </c>
    </row>
    <row r="99" spans="1:12" x14ac:dyDescent="0.25">
      <c r="A99" s="17" t="s">
        <v>1211</v>
      </c>
      <c r="B99" s="74"/>
      <c r="C99" s="75" t="s">
        <v>1210</v>
      </c>
      <c r="D99" s="76"/>
      <c r="E99" s="43">
        <v>2277.96</v>
      </c>
      <c r="F99" s="77"/>
      <c r="G99" s="78"/>
      <c r="H99" s="78"/>
      <c r="I99" s="78"/>
      <c r="J99" s="78"/>
      <c r="K99" s="79"/>
      <c r="L99" s="17" t="s">
        <v>71</v>
      </c>
    </row>
    <row r="100" spans="1:12" x14ac:dyDescent="0.25">
      <c r="A100" s="17" t="s">
        <v>1213</v>
      </c>
      <c r="B100" s="74"/>
      <c r="C100" s="75" t="s">
        <v>1212</v>
      </c>
      <c r="D100" s="76"/>
      <c r="E100" s="43">
        <v>761.66</v>
      </c>
      <c r="F100" s="77"/>
      <c r="G100" s="78"/>
      <c r="H100" s="78"/>
      <c r="I100" s="78"/>
      <c r="J100" s="78"/>
      <c r="K100" s="79"/>
      <c r="L100" s="17" t="s">
        <v>71</v>
      </c>
    </row>
    <row r="101" spans="1:12" x14ac:dyDescent="0.25">
      <c r="A101" s="17" t="s">
        <v>362</v>
      </c>
      <c r="B101" s="74"/>
      <c r="C101" s="75" t="s">
        <v>1214</v>
      </c>
      <c r="D101" s="76"/>
      <c r="E101" s="43">
        <v>801.64</v>
      </c>
      <c r="F101" s="77"/>
      <c r="G101" s="78"/>
      <c r="H101" s="78"/>
      <c r="I101" s="78"/>
      <c r="J101" s="78"/>
      <c r="K101" s="79"/>
      <c r="L101" s="17" t="s">
        <v>71</v>
      </c>
    </row>
    <row r="102" spans="1:12" x14ac:dyDescent="0.25">
      <c r="A102" s="17"/>
      <c r="B102" s="143"/>
      <c r="C102" s="144"/>
      <c r="D102" s="158"/>
      <c r="E102" s="43"/>
      <c r="F102" s="159"/>
      <c r="G102" s="160"/>
      <c r="H102" s="160"/>
      <c r="I102" s="160"/>
      <c r="J102" s="160"/>
      <c r="K102" s="161"/>
      <c r="L102" s="17"/>
    </row>
    <row r="103" spans="1:12" x14ac:dyDescent="0.25">
      <c r="A103" s="17"/>
      <c r="B103" s="143"/>
      <c r="C103" s="144"/>
      <c r="D103" s="158"/>
      <c r="E103" s="43"/>
      <c r="F103" s="159"/>
      <c r="G103" s="160"/>
      <c r="H103" s="160"/>
      <c r="I103" s="160"/>
      <c r="J103" s="160"/>
      <c r="K103" s="161"/>
      <c r="L103" s="17"/>
    </row>
    <row r="104" spans="1:12" ht="16.5" thickBot="1" x14ac:dyDescent="0.3">
      <c r="A104" s="26"/>
      <c r="B104" s="149"/>
      <c r="C104" s="150"/>
      <c r="D104" s="169"/>
      <c r="E104" s="45"/>
      <c r="F104" s="170"/>
      <c r="G104" s="171"/>
      <c r="H104" s="171"/>
      <c r="I104" s="171"/>
      <c r="J104" s="171"/>
      <c r="K104" s="172"/>
      <c r="L104" s="26"/>
    </row>
    <row r="105" spans="1:12" x14ac:dyDescent="0.25">
      <c r="A105" s="68"/>
      <c r="B105" s="69"/>
      <c r="C105" s="46"/>
      <c r="D105" s="46"/>
      <c r="F105" s="47"/>
      <c r="G105" s="47"/>
      <c r="H105" s="47"/>
      <c r="I105" s="47"/>
      <c r="J105" s="47"/>
      <c r="K105" s="47"/>
    </row>
    <row r="106" spans="1:12" x14ac:dyDescent="0.25">
      <c r="B106" s="176" t="s">
        <v>464</v>
      </c>
      <c r="C106" s="176"/>
      <c r="D106" s="176"/>
      <c r="E106" s="6">
        <f>SUM(E41:E49)</f>
        <v>50</v>
      </c>
      <c r="F106" s="6"/>
      <c r="G106" s="6"/>
      <c r="H106" s="6"/>
      <c r="I106" s="6"/>
      <c r="J106" s="6"/>
      <c r="K106" s="6"/>
    </row>
    <row r="107" spans="1:12" x14ac:dyDescent="0.25">
      <c r="B107" s="176" t="s">
        <v>465</v>
      </c>
      <c r="C107" s="176"/>
      <c r="D107" s="176"/>
      <c r="E107" s="6">
        <f>SUM(E23:E39)</f>
        <v>4025.33</v>
      </c>
    </row>
    <row r="108" spans="1:12" x14ac:dyDescent="0.25">
      <c r="B108" s="176" t="s">
        <v>466</v>
      </c>
      <c r="C108" s="176"/>
      <c r="D108" s="176"/>
      <c r="E108" s="6">
        <f>SUM(E51:E70)</f>
        <v>9360.4300000000021</v>
      </c>
    </row>
    <row r="113" spans="2:2" ht="18.75" x14ac:dyDescent="0.3">
      <c r="B113" s="48"/>
    </row>
  </sheetData>
  <mergeCells count="168">
    <mergeCell ref="B108:D108"/>
    <mergeCell ref="A21:L21"/>
    <mergeCell ref="B102:D102"/>
    <mergeCell ref="F102:K102"/>
    <mergeCell ref="B103:D103"/>
    <mergeCell ref="F103:K103"/>
    <mergeCell ref="B104:D104"/>
    <mergeCell ref="F104:K104"/>
    <mergeCell ref="B106:D106"/>
    <mergeCell ref="B107:D107"/>
    <mergeCell ref="B33:D33"/>
    <mergeCell ref="H33:K33"/>
    <mergeCell ref="B34:D34"/>
    <mergeCell ref="H34:K34"/>
    <mergeCell ref="B27:D27"/>
    <mergeCell ref="H27:K27"/>
    <mergeCell ref="B28:D28"/>
    <mergeCell ref="H28:K28"/>
    <mergeCell ref="B29:D29"/>
    <mergeCell ref="H29:K29"/>
    <mergeCell ref="B25:D25"/>
    <mergeCell ref="H25:K25"/>
    <mergeCell ref="B26:D26"/>
    <mergeCell ref="H26:K26"/>
    <mergeCell ref="B8:C8"/>
    <mergeCell ref="D8:E8"/>
    <mergeCell ref="F8:G8"/>
    <mergeCell ref="H24:K24"/>
    <mergeCell ref="I18:K18"/>
    <mergeCell ref="B23:D23"/>
    <mergeCell ref="H23:K23"/>
    <mergeCell ref="B24:D24"/>
    <mergeCell ref="B22:D22"/>
    <mergeCell ref="H22:K22"/>
    <mergeCell ref="I17:K17"/>
    <mergeCell ref="J1:L1"/>
    <mergeCell ref="E3:F3"/>
    <mergeCell ref="I3:L3"/>
    <mergeCell ref="I4:J4"/>
    <mergeCell ref="K4:L4"/>
    <mergeCell ref="I5:J5"/>
    <mergeCell ref="K5:L5"/>
    <mergeCell ref="I14:K14"/>
    <mergeCell ref="I16:K16"/>
    <mergeCell ref="I9:K9"/>
    <mergeCell ref="I10:K10"/>
    <mergeCell ref="I11:K11"/>
    <mergeCell ref="I6:J6"/>
    <mergeCell ref="K6:L6"/>
    <mergeCell ref="I7:J7"/>
    <mergeCell ref="K7:L7"/>
    <mergeCell ref="I12:K12"/>
    <mergeCell ref="I13:K13"/>
    <mergeCell ref="I15:K15"/>
    <mergeCell ref="B30:D30"/>
    <mergeCell ref="H30:K30"/>
    <mergeCell ref="B42:D42"/>
    <mergeCell ref="F42:K42"/>
    <mergeCell ref="B35:D35"/>
    <mergeCell ref="H35:K35"/>
    <mergeCell ref="H31:K31"/>
    <mergeCell ref="B32:D32"/>
    <mergeCell ref="H32:K32"/>
    <mergeCell ref="B39:D39"/>
    <mergeCell ref="H39:K39"/>
    <mergeCell ref="B40:D40"/>
    <mergeCell ref="B41:D41"/>
    <mergeCell ref="F41:K41"/>
    <mergeCell ref="B36:D36"/>
    <mergeCell ref="H36:K36"/>
    <mergeCell ref="B37:D37"/>
    <mergeCell ref="H37:K37"/>
    <mergeCell ref="B38:D38"/>
    <mergeCell ref="H38:K38"/>
    <mergeCell ref="F40:K40"/>
    <mergeCell ref="B31:D31"/>
    <mergeCell ref="H62:K62"/>
    <mergeCell ref="B46:D46"/>
    <mergeCell ref="F46:K46"/>
    <mergeCell ref="B47:D47"/>
    <mergeCell ref="F47:K47"/>
    <mergeCell ref="B48:D48"/>
    <mergeCell ref="F48:K48"/>
    <mergeCell ref="B43:D43"/>
    <mergeCell ref="F43:K43"/>
    <mergeCell ref="B44:D44"/>
    <mergeCell ref="F44:K44"/>
    <mergeCell ref="B45:D45"/>
    <mergeCell ref="F45:K45"/>
    <mergeCell ref="B49:D49"/>
    <mergeCell ref="F49:K49"/>
    <mergeCell ref="B50:D50"/>
    <mergeCell ref="F50:K50"/>
    <mergeCell ref="B51:D51"/>
    <mergeCell ref="B52:D52"/>
    <mergeCell ref="B53:D53"/>
    <mergeCell ref="B54:D54"/>
    <mergeCell ref="B55:D55"/>
    <mergeCell ref="B69:D69"/>
    <mergeCell ref="F69:K69"/>
    <mergeCell ref="B70:D70"/>
    <mergeCell ref="F70:K70"/>
    <mergeCell ref="B71:D71"/>
    <mergeCell ref="F71:K71"/>
    <mergeCell ref="B66:D66"/>
    <mergeCell ref="F66:K66"/>
    <mergeCell ref="B67:D67"/>
    <mergeCell ref="F67:K67"/>
    <mergeCell ref="B68:D68"/>
    <mergeCell ref="F68:K68"/>
    <mergeCell ref="B75:D75"/>
    <mergeCell ref="F75:K75"/>
    <mergeCell ref="B76:D76"/>
    <mergeCell ref="F76:K76"/>
    <mergeCell ref="B77:D77"/>
    <mergeCell ref="F77:K77"/>
    <mergeCell ref="B72:D72"/>
    <mergeCell ref="F72:K72"/>
    <mergeCell ref="B73:D73"/>
    <mergeCell ref="F73:K73"/>
    <mergeCell ref="B74:D74"/>
    <mergeCell ref="F74:K74"/>
    <mergeCell ref="B86:D86"/>
    <mergeCell ref="F86:K86"/>
    <mergeCell ref="F92:K92"/>
    <mergeCell ref="F93:K93"/>
    <mergeCell ref="B92:D92"/>
    <mergeCell ref="B93:D93"/>
    <mergeCell ref="B78:D78"/>
    <mergeCell ref="F78:K78"/>
    <mergeCell ref="B79:D79"/>
    <mergeCell ref="F79:K79"/>
    <mergeCell ref="B80:D80"/>
    <mergeCell ref="F80:K80"/>
    <mergeCell ref="B81:D81"/>
    <mergeCell ref="F81:K81"/>
    <mergeCell ref="B82:D82"/>
    <mergeCell ref="F82:K82"/>
    <mergeCell ref="B85:D85"/>
    <mergeCell ref="F85:K85"/>
    <mergeCell ref="B83:D83"/>
    <mergeCell ref="F83:K83"/>
    <mergeCell ref="B84:D84"/>
    <mergeCell ref="F84:K84"/>
    <mergeCell ref="H63:K63"/>
    <mergeCell ref="H64:K64"/>
    <mergeCell ref="H65:K65"/>
    <mergeCell ref="B62:D62"/>
    <mergeCell ref="B63:D63"/>
    <mergeCell ref="B64:D64"/>
    <mergeCell ref="B65:D65"/>
    <mergeCell ref="H51:K51"/>
    <mergeCell ref="H52:K52"/>
    <mergeCell ref="H53:K53"/>
    <mergeCell ref="H54:K54"/>
    <mergeCell ref="H55:K55"/>
    <mergeCell ref="H56:K56"/>
    <mergeCell ref="H57:K57"/>
    <mergeCell ref="H58:K58"/>
    <mergeCell ref="H59:K59"/>
    <mergeCell ref="B56:D56"/>
    <mergeCell ref="B57:D57"/>
    <mergeCell ref="B58:D58"/>
    <mergeCell ref="B59:D59"/>
    <mergeCell ref="B60:D60"/>
    <mergeCell ref="B61:D61"/>
    <mergeCell ref="H60:K60"/>
    <mergeCell ref="H61:K61"/>
  </mergeCells>
  <phoneticPr fontId="10" type="noConversion"/>
  <conditionalFormatting sqref="A21:A22 B22:H39 L22:XFD39 M50:XFD65 B66:XFD70">
    <cfRule type="cellIs" dxfId="238" priority="1" stopIfTrue="1" operator="equal">
      <formula>"OK"</formula>
    </cfRule>
  </conditionalFormatting>
  <conditionalFormatting sqref="A111:XFD1048576">
    <cfRule type="cellIs" dxfId="237" priority="13" stopIfTrue="1" operator="equal">
      <formula>"OK"</formula>
    </cfRule>
  </conditionalFormatting>
  <conditionalFormatting sqref="B51:B65 B23:H39">
    <cfRule type="expression" dxfId="236" priority="20">
      <formula>$J23="ancien paiement"</formula>
    </cfRule>
  </conditionalFormatting>
  <conditionalFormatting sqref="B73:B75 E73:F75 B80:D80 E80:F81 B81 B82:XFD82 B83 E83:F83 B84:XFD110 B40:XFD49 B76:XFD79 B71:XFD72 B1:J1 M1:XFD1 A2:XFD2 E3 G3:I3 M3:XFD3 B3:D6 K4 P4:XFD7 K5:L7 B7:I7 B8:D8 F8 I8 M8:XFD8 L9:XFD19 A20:XFD20 M21:XFD21 L73:XFD75 L80:XFD81 L83:XFD83">
    <cfRule type="cellIs" dxfId="235" priority="22" stopIfTrue="1" operator="equal">
      <formula>"OK"</formula>
    </cfRule>
  </conditionalFormatting>
  <conditionalFormatting sqref="B9:I19">
    <cfRule type="cellIs" dxfId="234" priority="11" stopIfTrue="1" operator="equal">
      <formula>"OK"</formula>
    </cfRule>
  </conditionalFormatting>
  <conditionalFormatting sqref="B41:K41">
    <cfRule type="expression" dxfId="233" priority="18">
      <formula>$J41="ancien paiement"</formula>
    </cfRule>
  </conditionalFormatting>
  <conditionalFormatting sqref="B41:K50 B51:B65">
    <cfRule type="expression" dxfId="232" priority="5">
      <formula>$F41="ancien paiement"</formula>
    </cfRule>
  </conditionalFormatting>
  <conditionalFormatting sqref="B43:K50">
    <cfRule type="expression" dxfId="231" priority="6">
      <formula>$J43="ancien paiement"</formula>
    </cfRule>
  </conditionalFormatting>
  <conditionalFormatting sqref="B67:K72">
    <cfRule type="expression" dxfId="230" priority="7">
      <formula>$F67="ancien paiement"</formula>
    </cfRule>
    <cfRule type="expression" dxfId="229" priority="8">
      <formula>$J67="ancien paiement"</formula>
    </cfRule>
  </conditionalFormatting>
  <conditionalFormatting sqref="B76:K77">
    <cfRule type="expression" dxfId="228" priority="16">
      <formula>$F76="ancien paiement"</formula>
    </cfRule>
    <cfRule type="expression" dxfId="227" priority="17">
      <formula>$J76="ancien paiement"</formula>
    </cfRule>
  </conditionalFormatting>
  <conditionalFormatting sqref="B79:K79">
    <cfRule type="expression" dxfId="226" priority="14">
      <formula>$F79="ancien paiement"</formula>
    </cfRule>
    <cfRule type="expression" dxfId="225" priority="15">
      <formula>$J79="ancien paiement"</formula>
    </cfRule>
  </conditionalFormatting>
  <conditionalFormatting sqref="B50:L50 B51:D65">
    <cfRule type="cellIs" dxfId="224" priority="9" stopIfTrue="1" operator="equal">
      <formula>"OK"</formula>
    </cfRule>
  </conditionalFormatting>
  <conditionalFormatting sqref="E51:F65 B73:B75 E73:F75 B80:D80 E80:F81 B81 B82:K82 B83 E83:F83 B84:K104">
    <cfRule type="expression" dxfId="223" priority="19">
      <formula>$F51="ancien paiement"</formula>
    </cfRule>
    <cfRule type="expression" dxfId="222" priority="21">
      <formula>$J51="ancien paiement"</formula>
    </cfRule>
  </conditionalFormatting>
  <conditionalFormatting sqref="E51:H65 L51:L65">
    <cfRule type="cellIs" dxfId="221" priority="4" stopIfTrue="1" operator="equal">
      <formula>"OK"</formula>
    </cfRule>
  </conditionalFormatting>
  <conditionalFormatting sqref="E4:I6">
    <cfRule type="cellIs" dxfId="220" priority="12" stopIfTrue="1" operator="equal">
      <formula>"OK"</formula>
    </cfRule>
  </conditionalFormatting>
  <pageMargins left="0.7" right="0.7" top="0.75" bottom="0.75" header="0.3" footer="0.3"/>
  <pageSetup paperSize="9" scale="42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6418-4F8C-444D-9A31-4D4DAC41846B}">
  <dimension ref="A1:N92"/>
  <sheetViews>
    <sheetView workbookViewId="0">
      <selection activeCell="I12" sqref="I12:K12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G1" s="1" t="s">
        <v>1285</v>
      </c>
      <c r="I1" s="2" t="s">
        <v>0</v>
      </c>
      <c r="J1" s="105">
        <v>46134</v>
      </c>
      <c r="K1" s="105"/>
      <c r="L1" s="105"/>
    </row>
    <row r="2" spans="2:14" ht="16.5" thickBot="1" x14ac:dyDescent="0.3">
      <c r="G2" s="1" t="s">
        <v>1286</v>
      </c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1287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14120</v>
      </c>
      <c r="G4" s="1" t="s">
        <v>1288</v>
      </c>
      <c r="I4" s="112" t="s">
        <v>3</v>
      </c>
      <c r="J4" s="113"/>
      <c r="K4" s="114">
        <f>E85+C14</f>
        <v>14126.11</v>
      </c>
      <c r="L4" s="115"/>
      <c r="N4" s="6"/>
    </row>
    <row r="5" spans="2:14" ht="16.5" thickBot="1" x14ac:dyDescent="0.3">
      <c r="E5" s="7" t="s">
        <v>4</v>
      </c>
      <c r="F5" s="8">
        <v>4049.31</v>
      </c>
      <c r="G5" s="1" t="s">
        <v>1289</v>
      </c>
      <c r="I5" s="95" t="s">
        <v>5</v>
      </c>
      <c r="J5" s="96"/>
      <c r="K5" s="97">
        <f>E15+E86</f>
        <v>4049.3099999999995</v>
      </c>
      <c r="L5" s="98"/>
      <c r="N5" s="6"/>
    </row>
    <row r="6" spans="2:14" ht="16.5" thickBot="1" x14ac:dyDescent="0.3">
      <c r="E6" s="9" t="s">
        <v>445</v>
      </c>
      <c r="F6" s="85">
        <v>6.11</v>
      </c>
      <c r="I6" s="95" t="s">
        <v>446</v>
      </c>
      <c r="J6" s="96"/>
      <c r="K6" s="97">
        <f>G15+E87</f>
        <v>12502.12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2000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2060</v>
      </c>
      <c r="D10" s="19" t="s">
        <v>1282</v>
      </c>
      <c r="E10" s="49">
        <v>422.91</v>
      </c>
      <c r="F10" s="20" t="s">
        <v>9</v>
      </c>
      <c r="G10" s="21">
        <v>11887.01</v>
      </c>
      <c r="H10" s="6"/>
      <c r="I10" s="137" t="s">
        <v>1235</v>
      </c>
      <c r="J10" s="138"/>
      <c r="K10" s="139"/>
      <c r="L10" s="21">
        <v>2.83</v>
      </c>
    </row>
    <row r="11" spans="2:14" ht="21.6" customHeight="1" x14ac:dyDescent="0.25">
      <c r="B11" s="17" t="s">
        <v>453</v>
      </c>
      <c r="C11" s="18">
        <v>3400</v>
      </c>
      <c r="D11" s="22"/>
      <c r="E11" s="50"/>
      <c r="F11" s="23" t="s">
        <v>454</v>
      </c>
      <c r="G11" s="24"/>
      <c r="H11" s="6"/>
      <c r="I11" s="140" t="s">
        <v>1283</v>
      </c>
      <c r="J11" s="141"/>
      <c r="K11" s="142"/>
      <c r="L11" s="21">
        <v>80</v>
      </c>
    </row>
    <row r="12" spans="2:14" ht="21.6" customHeight="1" x14ac:dyDescent="0.25">
      <c r="B12" s="17" t="s">
        <v>455</v>
      </c>
      <c r="C12" s="18">
        <v>205</v>
      </c>
      <c r="D12" s="22"/>
      <c r="E12" s="50"/>
      <c r="F12" s="23"/>
      <c r="G12" s="24"/>
      <c r="H12" s="6"/>
      <c r="I12" s="140" t="s">
        <v>1284</v>
      </c>
      <c r="J12" s="141"/>
      <c r="K12" s="142"/>
      <c r="L12" s="24">
        <v>50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7665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417</v>
      </c>
      <c r="D15" s="28" t="s">
        <v>11</v>
      </c>
      <c r="E15" s="29">
        <f>SUM(E10:E14)</f>
        <v>422.91</v>
      </c>
      <c r="F15" s="30" t="s">
        <v>11</v>
      </c>
      <c r="G15" s="31">
        <f>SUM(G10:G14)</f>
        <v>11887.01</v>
      </c>
      <c r="H15" s="6"/>
      <c r="I15" s="116" t="s">
        <v>457</v>
      </c>
      <c r="J15" s="117"/>
      <c r="K15" s="118"/>
      <c r="L15" s="32">
        <f>C15-'21'!C18</f>
        <v>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-133.82999999999998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183</v>
      </c>
      <c r="B20" s="128" t="s">
        <v>1238</v>
      </c>
      <c r="C20" s="129"/>
      <c r="D20" s="130"/>
      <c r="E20" s="20">
        <v>305.83999999999997</v>
      </c>
      <c r="F20" s="12" t="s">
        <v>62</v>
      </c>
      <c r="G20" s="51">
        <v>496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178</v>
      </c>
      <c r="B21" s="143" t="s">
        <v>1240</v>
      </c>
      <c r="C21" s="144"/>
      <c r="D21" s="145"/>
      <c r="E21" s="20">
        <v>448.6</v>
      </c>
      <c r="F21" s="23" t="s">
        <v>44</v>
      </c>
      <c r="G21" s="52">
        <v>4142823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1245</v>
      </c>
      <c r="B22" s="143" t="s">
        <v>1244</v>
      </c>
      <c r="C22" s="144"/>
      <c r="D22" s="145"/>
      <c r="E22" s="20">
        <v>467.01</v>
      </c>
      <c r="F22" s="23" t="s">
        <v>35</v>
      </c>
      <c r="G22" s="52">
        <v>7051124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315</v>
      </c>
      <c r="B23" s="143" t="s">
        <v>1246</v>
      </c>
      <c r="C23" s="144"/>
      <c r="D23" s="145"/>
      <c r="E23" s="20">
        <v>353.11</v>
      </c>
      <c r="F23" s="23" t="s">
        <v>35</v>
      </c>
      <c r="G23" s="52">
        <v>8738422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1248</v>
      </c>
      <c r="B24" s="143" t="s">
        <v>1247</v>
      </c>
      <c r="C24" s="144"/>
      <c r="D24" s="145"/>
      <c r="E24" s="20">
        <v>327.84</v>
      </c>
      <c r="F24" s="23" t="s">
        <v>1249</v>
      </c>
      <c r="G24" s="52">
        <v>5673007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229</v>
      </c>
      <c r="B25" s="143" t="s">
        <v>1250</v>
      </c>
      <c r="C25" s="144"/>
      <c r="D25" s="145"/>
      <c r="E25" s="20">
        <v>511.95</v>
      </c>
      <c r="F25" s="23" t="s">
        <v>62</v>
      </c>
      <c r="G25" s="52">
        <v>1170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1266</v>
      </c>
      <c r="B26" s="143" t="s">
        <v>1265</v>
      </c>
      <c r="C26" s="144"/>
      <c r="D26" s="145"/>
      <c r="E26" s="20">
        <v>352.12</v>
      </c>
      <c r="F26" s="23" t="s">
        <v>46</v>
      </c>
      <c r="G26" s="52">
        <v>6361490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1268</v>
      </c>
      <c r="B27" s="143" t="s">
        <v>1267</v>
      </c>
      <c r="C27" s="144"/>
      <c r="D27" s="145"/>
      <c r="E27" s="20">
        <v>535.52</v>
      </c>
      <c r="F27" s="23" t="s">
        <v>75</v>
      </c>
      <c r="G27" s="52">
        <v>781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1271</v>
      </c>
      <c r="B28" s="143" t="s">
        <v>1270</v>
      </c>
      <c r="C28" s="144"/>
      <c r="D28" s="145"/>
      <c r="E28" s="20">
        <v>324.41000000000003</v>
      </c>
      <c r="F28" s="23" t="s">
        <v>44</v>
      </c>
      <c r="G28" s="52">
        <v>324.41000000000003</v>
      </c>
      <c r="H28" s="146"/>
      <c r="I28" s="147"/>
      <c r="J28" s="147"/>
      <c r="K28" s="148"/>
      <c r="L28" s="23" t="s">
        <v>33</v>
      </c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1232</v>
      </c>
      <c r="B39" s="128" t="s">
        <v>1233</v>
      </c>
      <c r="C39" s="129"/>
      <c r="D39" s="162"/>
      <c r="E39" s="41">
        <v>4510</v>
      </c>
      <c r="F39" s="163" t="s">
        <v>1234</v>
      </c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222</v>
      </c>
      <c r="B40" s="143" t="s">
        <v>1241</v>
      </c>
      <c r="C40" s="144"/>
      <c r="D40" s="158"/>
      <c r="E40" s="43">
        <v>413.8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1275</v>
      </c>
      <c r="B41" s="143" t="s">
        <v>1274</v>
      </c>
      <c r="C41" s="144"/>
      <c r="D41" s="158"/>
      <c r="E41" s="43">
        <v>361.89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 t="s">
        <v>981</v>
      </c>
      <c r="B42" s="143" t="s">
        <v>1278</v>
      </c>
      <c r="C42" s="144"/>
      <c r="D42" s="158"/>
      <c r="E42" s="43">
        <v>1125.42</v>
      </c>
      <c r="F42" s="159" t="s">
        <v>1279</v>
      </c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/>
      <c r="B43" s="143" t="s">
        <v>1281</v>
      </c>
      <c r="C43" s="144"/>
      <c r="D43" s="158"/>
      <c r="E43" s="43">
        <v>50</v>
      </c>
      <c r="F43" s="159" t="s">
        <v>1280</v>
      </c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205</v>
      </c>
      <c r="B49" s="143" t="s">
        <v>1200</v>
      </c>
      <c r="C49" s="144"/>
      <c r="D49" s="158"/>
      <c r="E49" s="43">
        <v>615.11</v>
      </c>
      <c r="F49" s="159"/>
      <c r="G49" s="160"/>
      <c r="H49" s="160"/>
      <c r="I49" s="160"/>
      <c r="J49" s="160"/>
      <c r="K49" s="161"/>
      <c r="L49" s="20" t="s">
        <v>33</v>
      </c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1237</v>
      </c>
      <c r="B66" s="128" t="s">
        <v>1236</v>
      </c>
      <c r="C66" s="129"/>
      <c r="D66" s="162"/>
      <c r="E66" s="43">
        <v>474.49</v>
      </c>
      <c r="F66" s="163"/>
      <c r="G66" s="164"/>
      <c r="H66" s="164"/>
      <c r="I66" s="164"/>
      <c r="J66" s="164"/>
      <c r="K66" s="165"/>
      <c r="L66" s="23" t="s">
        <v>33</v>
      </c>
    </row>
    <row r="67" spans="1:12" x14ac:dyDescent="0.25">
      <c r="A67" s="17" t="s">
        <v>226</v>
      </c>
      <c r="B67" s="128" t="s">
        <v>1239</v>
      </c>
      <c r="C67" s="129"/>
      <c r="D67" s="162"/>
      <c r="E67" s="43">
        <v>1158.92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/>
      <c r="B68" s="143" t="s">
        <v>1242</v>
      </c>
      <c r="C68" s="144"/>
      <c r="D68" s="158"/>
      <c r="E68" s="43">
        <v>59.9</v>
      </c>
      <c r="F68" s="159" t="s">
        <v>1243</v>
      </c>
      <c r="G68" s="160"/>
      <c r="H68" s="160"/>
      <c r="I68" s="160"/>
      <c r="J68" s="160"/>
      <c r="K68" s="161"/>
      <c r="L68" s="23"/>
    </row>
    <row r="69" spans="1:12" x14ac:dyDescent="0.25">
      <c r="A69" s="17" t="s">
        <v>213</v>
      </c>
      <c r="B69" s="143" t="s">
        <v>1251</v>
      </c>
      <c r="C69" s="144"/>
      <c r="D69" s="158"/>
      <c r="E69" s="43">
        <v>713.39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53</v>
      </c>
      <c r="B70" s="143" t="s">
        <v>52</v>
      </c>
      <c r="C70" s="144"/>
      <c r="D70" s="158"/>
      <c r="E70" s="43">
        <v>394.36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17" t="s">
        <v>1253</v>
      </c>
      <c r="B71" s="143" t="s">
        <v>1252</v>
      </c>
      <c r="C71" s="144"/>
      <c r="D71" s="158"/>
      <c r="E71" s="43">
        <v>713.06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1255</v>
      </c>
      <c r="B72" s="143" t="s">
        <v>1254</v>
      </c>
      <c r="C72" s="144"/>
      <c r="D72" s="158"/>
      <c r="E72" s="43">
        <v>329.58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17" t="s">
        <v>1257</v>
      </c>
      <c r="B73" s="143" t="s">
        <v>1256</v>
      </c>
      <c r="C73" s="144"/>
      <c r="D73" s="158"/>
      <c r="E73" s="43">
        <v>501.9</v>
      </c>
      <c r="F73" s="159"/>
      <c r="G73" s="160"/>
      <c r="H73" s="160"/>
      <c r="I73" s="160"/>
      <c r="J73" s="160"/>
      <c r="K73" s="161"/>
      <c r="L73" s="23" t="s">
        <v>33</v>
      </c>
    </row>
    <row r="74" spans="1:12" x14ac:dyDescent="0.25">
      <c r="A74" s="17" t="s">
        <v>1259</v>
      </c>
      <c r="B74" s="74"/>
      <c r="C74" s="75" t="s">
        <v>1258</v>
      </c>
      <c r="D74" s="76"/>
      <c r="E74" s="43">
        <v>356.3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 t="s">
        <v>67</v>
      </c>
      <c r="B75" s="74"/>
      <c r="C75" s="75" t="s">
        <v>1260</v>
      </c>
      <c r="D75" s="76"/>
      <c r="E75" s="43">
        <v>512.27</v>
      </c>
      <c r="F75" s="77"/>
      <c r="G75" s="78"/>
      <c r="H75" s="78"/>
      <c r="I75" s="78"/>
      <c r="J75" s="78"/>
      <c r="K75" s="79"/>
      <c r="L75" s="23" t="s">
        <v>33</v>
      </c>
    </row>
    <row r="76" spans="1:12" x14ac:dyDescent="0.25">
      <c r="A76" s="17" t="s">
        <v>1262</v>
      </c>
      <c r="B76" s="74"/>
      <c r="C76" s="75" t="s">
        <v>1261</v>
      </c>
      <c r="D76" s="76"/>
      <c r="E76" s="43">
        <v>7089.92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1264</v>
      </c>
      <c r="B77" s="74"/>
      <c r="C77" s="75" t="s">
        <v>1263</v>
      </c>
      <c r="D77" s="76"/>
      <c r="E77" s="43">
        <v>490.7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80</v>
      </c>
      <c r="B78" s="74"/>
      <c r="C78" s="75" t="s">
        <v>79</v>
      </c>
      <c r="D78" s="76"/>
      <c r="E78" s="43">
        <v>458.85</v>
      </c>
      <c r="F78" s="77"/>
      <c r="G78" s="78"/>
      <c r="H78" s="78"/>
      <c r="I78" s="78"/>
      <c r="J78" s="78"/>
      <c r="K78" s="79"/>
      <c r="L78" s="23" t="s">
        <v>33</v>
      </c>
    </row>
    <row r="79" spans="1:12" x14ac:dyDescent="0.25">
      <c r="A79" s="17" t="s">
        <v>1269</v>
      </c>
      <c r="B79" s="143" t="s">
        <v>1219</v>
      </c>
      <c r="C79" s="144"/>
      <c r="D79" s="158"/>
      <c r="E79" s="43">
        <v>1759.95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1273</v>
      </c>
      <c r="B80" s="143" t="s">
        <v>1272</v>
      </c>
      <c r="C80" s="144"/>
      <c r="D80" s="158"/>
      <c r="E80" s="43">
        <v>3661.8</v>
      </c>
      <c r="F80" s="159"/>
      <c r="G80" s="160"/>
      <c r="H80" s="160"/>
      <c r="I80" s="160"/>
      <c r="J80" s="160"/>
      <c r="K80" s="161"/>
      <c r="L80" s="17" t="s">
        <v>33</v>
      </c>
    </row>
    <row r="81" spans="1:12" x14ac:dyDescent="0.25">
      <c r="A81" s="17" t="s">
        <v>1277</v>
      </c>
      <c r="B81" s="143" t="s">
        <v>1276</v>
      </c>
      <c r="C81" s="144"/>
      <c r="D81" s="158"/>
      <c r="E81" s="43">
        <v>479.35</v>
      </c>
      <c r="F81" s="159"/>
      <c r="G81" s="160"/>
      <c r="H81" s="160"/>
      <c r="I81" s="160"/>
      <c r="J81" s="160"/>
      <c r="K81" s="161"/>
      <c r="L81" s="17"/>
    </row>
    <row r="82" spans="1:12" x14ac:dyDescent="0.25">
      <c r="A82" s="17"/>
      <c r="B82" s="143"/>
      <c r="C82" s="144"/>
      <c r="D82" s="158"/>
      <c r="E82" s="43"/>
      <c r="F82" s="159"/>
      <c r="G82" s="160"/>
      <c r="H82" s="160"/>
      <c r="I82" s="160"/>
      <c r="J82" s="160"/>
      <c r="K82" s="161"/>
      <c r="L82" s="17"/>
    </row>
    <row r="83" spans="1:12" ht="16.5" thickBot="1" x14ac:dyDescent="0.3">
      <c r="A83" s="26"/>
      <c r="B83" s="149"/>
      <c r="C83" s="150"/>
      <c r="D83" s="169"/>
      <c r="E83" s="45"/>
      <c r="F83" s="170"/>
      <c r="G83" s="171"/>
      <c r="H83" s="171"/>
      <c r="I83" s="171"/>
      <c r="J83" s="171"/>
      <c r="K83" s="172"/>
      <c r="L83" s="26"/>
    </row>
    <row r="84" spans="1:12" x14ac:dyDescent="0.25">
      <c r="A84" s="68"/>
      <c r="B84" s="69"/>
      <c r="C84" s="46"/>
      <c r="D84" s="46"/>
      <c r="F84" s="47"/>
      <c r="G84" s="47"/>
      <c r="H84" s="47"/>
      <c r="I84" s="47"/>
      <c r="J84" s="47"/>
      <c r="K84" s="47"/>
    </row>
    <row r="85" spans="1:12" x14ac:dyDescent="0.25">
      <c r="B85" s="176" t="s">
        <v>464</v>
      </c>
      <c r="C85" s="176"/>
      <c r="D85" s="176"/>
      <c r="E85" s="6">
        <f>SUM(E39:E47)</f>
        <v>6461.1100000000006</v>
      </c>
      <c r="F85" s="6"/>
      <c r="G85" s="6"/>
      <c r="H85" s="6"/>
      <c r="I85" s="6"/>
      <c r="J85" s="6"/>
      <c r="K85" s="6"/>
    </row>
    <row r="86" spans="1:12" x14ac:dyDescent="0.25">
      <c r="B86" s="176" t="s">
        <v>465</v>
      </c>
      <c r="C86" s="176"/>
      <c r="D86" s="176"/>
      <c r="E86" s="6">
        <f>SUM(E20:E37)</f>
        <v>3626.3999999999996</v>
      </c>
    </row>
    <row r="87" spans="1:12" x14ac:dyDescent="0.25">
      <c r="B87" s="176" t="s">
        <v>466</v>
      </c>
      <c r="C87" s="176"/>
      <c r="D87" s="176"/>
      <c r="E87" s="6">
        <f>SUM(E49:E57)</f>
        <v>615.11</v>
      </c>
    </row>
    <row r="92" spans="1:12" ht="18.75" x14ac:dyDescent="0.3">
      <c r="B92" s="48"/>
    </row>
  </sheetData>
  <mergeCells count="145">
    <mergeCell ref="B83:D83"/>
    <mergeCell ref="F83:K83"/>
    <mergeCell ref="B85:D85"/>
    <mergeCell ref="B86:D86"/>
    <mergeCell ref="B87:D87"/>
    <mergeCell ref="B80:D80"/>
    <mergeCell ref="F80:K80"/>
    <mergeCell ref="B81:D81"/>
    <mergeCell ref="F81:K81"/>
    <mergeCell ref="B82:D82"/>
    <mergeCell ref="F82:K82"/>
    <mergeCell ref="B72:D72"/>
    <mergeCell ref="F72:K72"/>
    <mergeCell ref="B73:D73"/>
    <mergeCell ref="F73:K73"/>
    <mergeCell ref="B79:D79"/>
    <mergeCell ref="F79:K79"/>
    <mergeCell ref="B69:D69"/>
    <mergeCell ref="F69:K69"/>
    <mergeCell ref="B70:D70"/>
    <mergeCell ref="F70:K70"/>
    <mergeCell ref="B71:D71"/>
    <mergeCell ref="F71:K71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</mergeCells>
  <conditionalFormatting sqref="A18:A19">
    <cfRule type="cellIs" dxfId="219" priority="1" stopIfTrue="1" operator="equal">
      <formula>"OK"</formula>
    </cfRule>
  </conditionalFormatting>
  <conditionalFormatting sqref="A90:XFD1048576">
    <cfRule type="cellIs" dxfId="218" priority="13" stopIfTrue="1" operator="equal">
      <formula>"OK"</formula>
    </cfRule>
  </conditionalFormatting>
  <conditionalFormatting sqref="B49:B52 B20:H37">
    <cfRule type="expression" dxfId="217" priority="20">
      <formula>$J20="ancien paiement"</formula>
    </cfRule>
  </conditionalFormatting>
  <conditionalFormatting sqref="B60:B62 E60:F62 B67:D67 E67:F68 B68 B69:K69 B70 E70:F70 B71:K83">
    <cfRule type="expression" dxfId="216" priority="19">
      <formula>$F60="ancien paiement"</formula>
    </cfRule>
    <cfRule type="expression" dxfId="215" priority="21">
      <formula>$J60="ancien paiement"</formula>
    </cfRule>
  </conditionalFormatting>
  <conditionalFormatting sqref="B60:B62 E60:F62 B67:D67 E67:F68 B68 B69:XFD69 B70 E70:F70 B71:XFD89 B19:H37 B38:XFD47 B63:XFD66 B58:XFD59 B1:J1 M1:XFD1 A2:XFD2 E3 G3:I3 M3:XFD3 B3:D6 K4 P4:XFD7 K5:L7 B7:I7 B8:D8 F8 I8 M8:XFD8 L9:XFD16 A17:XFD17 M18:XFD18 L19:XFD37 M48:XFD57 L60:XFD62 L67:XFD68 L70:XFD70">
    <cfRule type="cellIs" dxfId="214" priority="22" stopIfTrue="1" operator="equal">
      <formula>"OK"</formula>
    </cfRule>
  </conditionalFormatting>
  <conditionalFormatting sqref="B9:I16">
    <cfRule type="cellIs" dxfId="213" priority="11" stopIfTrue="1" operator="equal">
      <formula>"OK"</formula>
    </cfRule>
  </conditionalFormatting>
  <conditionalFormatting sqref="B39:K39">
    <cfRule type="expression" dxfId="212" priority="18">
      <formula>$J39="ancien paiement"</formula>
    </cfRule>
  </conditionalFormatting>
  <conditionalFormatting sqref="B39:K48 B49:B52">
    <cfRule type="expression" dxfId="211" priority="5">
      <formula>$F39="ancien paiement"</formula>
    </cfRule>
  </conditionalFormatting>
  <conditionalFormatting sqref="B41:K48">
    <cfRule type="expression" dxfId="210" priority="6">
      <formula>$J41="ancien paiement"</formula>
    </cfRule>
  </conditionalFormatting>
  <conditionalFormatting sqref="B54:K59">
    <cfRule type="expression" dxfId="209" priority="7">
      <formula>$F54="ancien paiement"</formula>
    </cfRule>
    <cfRule type="expression" dxfId="208" priority="8">
      <formula>$J54="ancien paiement"</formula>
    </cfRule>
  </conditionalFormatting>
  <conditionalFormatting sqref="B63:K64">
    <cfRule type="expression" dxfId="207" priority="16">
      <formula>$F63="ancien paiement"</formula>
    </cfRule>
    <cfRule type="expression" dxfId="206" priority="17">
      <formula>$J63="ancien paiement"</formula>
    </cfRule>
  </conditionalFormatting>
  <conditionalFormatting sqref="B66:K66">
    <cfRule type="expression" dxfId="205" priority="14">
      <formula>$F66="ancien paiement"</formula>
    </cfRule>
    <cfRule type="expression" dxfId="204" priority="15">
      <formula>$J66="ancien paiement"</formula>
    </cfRule>
  </conditionalFormatting>
  <conditionalFormatting sqref="B51:L57 B48:L49 B50:D50">
    <cfRule type="cellIs" dxfId="203" priority="9" stopIfTrue="1" operator="equal">
      <formula>"OK"</formula>
    </cfRule>
  </conditionalFormatting>
  <conditionalFormatting sqref="E49">
    <cfRule type="expression" dxfId="202" priority="10">
      <formula>#REF!="ancien paiement"</formula>
    </cfRule>
  </conditionalFormatting>
  <conditionalFormatting sqref="E49:F52">
    <cfRule type="expression" dxfId="201" priority="2">
      <formula>$F49="ancien paiement"</formula>
    </cfRule>
    <cfRule type="expression" dxfId="200" priority="3">
      <formula>$J49="ancien paiement"</formula>
    </cfRule>
  </conditionalFormatting>
  <conditionalFormatting sqref="E4:I6">
    <cfRule type="cellIs" dxfId="199" priority="12" stopIfTrue="1" operator="equal">
      <formula>"OK"</formula>
    </cfRule>
  </conditionalFormatting>
  <conditionalFormatting sqref="E50:L50">
    <cfRule type="cellIs" dxfId="198" priority="4" stopIfTrue="1" operator="equal">
      <formula>"OK"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2CCC-D847-4A0D-BD0A-DEE65FFF03C5}">
  <sheetPr>
    <pageSetUpPr fitToPage="1"/>
  </sheetPr>
  <dimension ref="A1:N107"/>
  <sheetViews>
    <sheetView topLeftCell="A60" workbookViewId="0">
      <selection activeCell="B73" sqref="B73:D73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46135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1354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7845</v>
      </c>
      <c r="G4" s="1" t="s">
        <v>1355</v>
      </c>
      <c r="I4" s="112" t="s">
        <v>3</v>
      </c>
      <c r="J4" s="113"/>
      <c r="K4" s="114">
        <f>E100+C14</f>
        <v>7870.34</v>
      </c>
      <c r="L4" s="115"/>
      <c r="N4" s="6"/>
    </row>
    <row r="5" spans="2:14" ht="16.5" thickBot="1" x14ac:dyDescent="0.3">
      <c r="E5" s="7" t="s">
        <v>4</v>
      </c>
      <c r="F5" s="8">
        <v>4274.16</v>
      </c>
      <c r="G5" s="1" t="s">
        <v>1356</v>
      </c>
      <c r="I5" s="95" t="s">
        <v>5</v>
      </c>
      <c r="J5" s="96"/>
      <c r="K5" s="97">
        <f>E15+E101</f>
        <v>4274.16</v>
      </c>
      <c r="L5" s="98"/>
      <c r="N5" s="6"/>
    </row>
    <row r="6" spans="2:14" ht="16.5" thickBot="1" x14ac:dyDescent="0.3">
      <c r="E6" s="9" t="s">
        <v>445</v>
      </c>
      <c r="F6" s="85">
        <v>25.34</v>
      </c>
      <c r="I6" s="95" t="s">
        <v>446</v>
      </c>
      <c r="J6" s="96"/>
      <c r="K6" s="97">
        <f>G15+E102</f>
        <v>37646.449999999997</v>
      </c>
      <c r="L6" s="98"/>
    </row>
    <row r="7" spans="2:14" ht="16.5" thickBot="1" x14ac:dyDescent="0.3">
      <c r="I7" s="99" t="s">
        <v>6</v>
      </c>
      <c r="J7" s="100"/>
      <c r="K7" s="101">
        <f>SUM(E70:E75)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2350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2320</v>
      </c>
      <c r="D10" s="19" t="s">
        <v>1282</v>
      </c>
      <c r="E10" s="49">
        <v>260.52</v>
      </c>
      <c r="F10" s="20" t="s">
        <v>9</v>
      </c>
      <c r="G10" s="21">
        <v>17024.650000000001</v>
      </c>
      <c r="H10" s="6"/>
      <c r="I10" s="137" t="s">
        <v>1350</v>
      </c>
      <c r="J10" s="138"/>
      <c r="K10" s="139"/>
      <c r="L10" s="21">
        <v>80</v>
      </c>
    </row>
    <row r="11" spans="2:14" ht="21.6" customHeight="1" x14ac:dyDescent="0.25">
      <c r="B11" s="17" t="s">
        <v>453</v>
      </c>
      <c r="C11" s="18">
        <v>1490</v>
      </c>
      <c r="D11" s="22"/>
      <c r="E11" s="50"/>
      <c r="F11" s="23" t="s">
        <v>454</v>
      </c>
      <c r="G11" s="24"/>
      <c r="H11" s="6"/>
      <c r="I11" s="140" t="s">
        <v>1351</v>
      </c>
      <c r="J11" s="141"/>
      <c r="K11" s="142"/>
      <c r="L11" s="21">
        <v>80</v>
      </c>
    </row>
    <row r="12" spans="2:14" ht="21.6" customHeight="1" x14ac:dyDescent="0.25">
      <c r="B12" s="17" t="s">
        <v>455</v>
      </c>
      <c r="C12" s="18">
        <v>80</v>
      </c>
      <c r="D12" s="22"/>
      <c r="E12" s="50"/>
      <c r="F12" s="23"/>
      <c r="G12" s="24"/>
      <c r="H12" s="6"/>
      <c r="I12" s="140" t="s">
        <v>1283</v>
      </c>
      <c r="J12" s="141"/>
      <c r="K12" s="142"/>
      <c r="L12" s="24">
        <v>80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1352</v>
      </c>
      <c r="J13" s="141"/>
      <c r="K13" s="142"/>
      <c r="L13" s="24">
        <v>10</v>
      </c>
    </row>
    <row r="14" spans="2:14" ht="23.85" customHeight="1" x14ac:dyDescent="0.25">
      <c r="B14" s="25" t="s">
        <v>11</v>
      </c>
      <c r="C14" s="18">
        <f>SUM(C9:C13)</f>
        <v>6240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383</v>
      </c>
      <c r="D15" s="28" t="s">
        <v>11</v>
      </c>
      <c r="E15" s="29">
        <f>SUM(E10:E14)</f>
        <v>260.52</v>
      </c>
      <c r="F15" s="30" t="s">
        <v>11</v>
      </c>
      <c r="G15" s="31">
        <f>SUM(G10:G14)</f>
        <v>17024.650000000001</v>
      </c>
      <c r="H15" s="6"/>
      <c r="I15" s="116" t="s">
        <v>457</v>
      </c>
      <c r="J15" s="117"/>
      <c r="K15" s="118"/>
      <c r="L15" s="32">
        <f>C15-'22'!C18</f>
        <v>383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-633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439</v>
      </c>
      <c r="B20" s="128" t="s">
        <v>1310</v>
      </c>
      <c r="C20" s="129"/>
      <c r="D20" s="130"/>
      <c r="E20" s="20">
        <v>359.93</v>
      </c>
      <c r="F20" s="12" t="s">
        <v>137</v>
      </c>
      <c r="G20" s="51">
        <v>6386</v>
      </c>
      <c r="H20" s="131"/>
      <c r="I20" s="132"/>
      <c r="J20" s="132"/>
      <c r="K20" s="133"/>
      <c r="L20" s="20" t="s">
        <v>71</v>
      </c>
    </row>
    <row r="21" spans="1:12" x14ac:dyDescent="0.25">
      <c r="A21" s="66" t="s">
        <v>1312</v>
      </c>
      <c r="B21" s="143" t="s">
        <v>1311</v>
      </c>
      <c r="C21" s="144"/>
      <c r="D21" s="145"/>
      <c r="E21" s="20">
        <v>1958.21</v>
      </c>
      <c r="F21" s="23" t="s">
        <v>1203</v>
      </c>
      <c r="G21" s="52">
        <v>6155360</v>
      </c>
      <c r="H21" s="146"/>
      <c r="I21" s="147"/>
      <c r="J21" s="147"/>
      <c r="K21" s="148"/>
      <c r="L21" s="23" t="s">
        <v>71</v>
      </c>
    </row>
    <row r="22" spans="1:12" x14ac:dyDescent="0.25">
      <c r="A22" s="66" t="s">
        <v>1325</v>
      </c>
      <c r="B22" s="143" t="s">
        <v>1324</v>
      </c>
      <c r="C22" s="144"/>
      <c r="D22" s="145"/>
      <c r="E22" s="20">
        <v>566.04</v>
      </c>
      <c r="F22" s="23" t="s">
        <v>242</v>
      </c>
      <c r="G22" s="52">
        <v>18</v>
      </c>
      <c r="H22" s="146"/>
      <c r="I22" s="147"/>
      <c r="J22" s="147"/>
      <c r="K22" s="148"/>
      <c r="L22" s="23" t="s">
        <v>71</v>
      </c>
    </row>
    <row r="23" spans="1:12" x14ac:dyDescent="0.25">
      <c r="A23" s="66" t="s">
        <v>1337</v>
      </c>
      <c r="B23" s="143" t="s">
        <v>1336</v>
      </c>
      <c r="C23" s="144"/>
      <c r="D23" s="145"/>
      <c r="E23" s="20">
        <v>341.55</v>
      </c>
      <c r="F23" s="23" t="s">
        <v>245</v>
      </c>
      <c r="G23" s="52">
        <v>8622366</v>
      </c>
      <c r="H23" s="146"/>
      <c r="I23" s="147"/>
      <c r="J23" s="147"/>
      <c r="K23" s="148"/>
      <c r="L23" s="23" t="s">
        <v>71</v>
      </c>
    </row>
    <row r="24" spans="1:12" x14ac:dyDescent="0.25">
      <c r="A24" s="66" t="s">
        <v>1343</v>
      </c>
      <c r="B24" s="143" t="s">
        <v>1342</v>
      </c>
      <c r="C24" s="144"/>
      <c r="D24" s="145"/>
      <c r="E24" s="20">
        <v>521.41</v>
      </c>
      <c r="F24" s="23" t="s">
        <v>137</v>
      </c>
      <c r="G24" s="52">
        <v>730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218</v>
      </c>
      <c r="B25" s="143" t="s">
        <v>217</v>
      </c>
      <c r="C25" s="144"/>
      <c r="D25" s="145"/>
      <c r="E25" s="20">
        <v>266.5</v>
      </c>
      <c r="F25" s="23" t="s">
        <v>1344</v>
      </c>
      <c r="G25" s="52">
        <v>2035</v>
      </c>
      <c r="H25" s="146"/>
      <c r="I25" s="147"/>
      <c r="J25" s="147"/>
      <c r="K25" s="148"/>
      <c r="L25" s="23" t="s">
        <v>33</v>
      </c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1316</v>
      </c>
      <c r="B39" s="128" t="s">
        <v>1315</v>
      </c>
      <c r="C39" s="129"/>
      <c r="D39" s="162"/>
      <c r="E39" s="41">
        <v>335.47</v>
      </c>
      <c r="F39" s="163"/>
      <c r="G39" s="164"/>
      <c r="H39" s="164"/>
      <c r="I39" s="164"/>
      <c r="J39" s="164"/>
      <c r="K39" s="165"/>
      <c r="L39" s="42" t="s">
        <v>71</v>
      </c>
    </row>
    <row r="40" spans="1:12" x14ac:dyDescent="0.25">
      <c r="A40" s="66" t="s">
        <v>1332</v>
      </c>
      <c r="B40" s="143" t="s">
        <v>223</v>
      </c>
      <c r="C40" s="144"/>
      <c r="D40" s="158"/>
      <c r="E40" s="43">
        <v>293.20999999999998</v>
      </c>
      <c r="F40" s="159"/>
      <c r="G40" s="160"/>
      <c r="H40" s="160"/>
      <c r="I40" s="160"/>
      <c r="J40" s="160"/>
      <c r="K40" s="161"/>
      <c r="L40" s="23" t="s">
        <v>71</v>
      </c>
    </row>
    <row r="41" spans="1:12" x14ac:dyDescent="0.25">
      <c r="A41" s="66" t="s">
        <v>407</v>
      </c>
      <c r="B41" s="143" t="s">
        <v>1333</v>
      </c>
      <c r="C41" s="144"/>
      <c r="D41" s="158"/>
      <c r="E41" s="43">
        <v>388.11</v>
      </c>
      <c r="F41" s="159"/>
      <c r="G41" s="160"/>
      <c r="H41" s="160"/>
      <c r="I41" s="160"/>
      <c r="J41" s="160"/>
      <c r="K41" s="161"/>
      <c r="L41" s="17" t="s">
        <v>71</v>
      </c>
    </row>
    <row r="42" spans="1:12" x14ac:dyDescent="0.25">
      <c r="A42" s="66" t="s">
        <v>1331</v>
      </c>
      <c r="B42" s="143" t="s">
        <v>1330</v>
      </c>
      <c r="C42" s="144"/>
      <c r="D42" s="158"/>
      <c r="E42" s="43">
        <v>335.47</v>
      </c>
      <c r="F42" s="159"/>
      <c r="G42" s="160"/>
      <c r="H42" s="160"/>
      <c r="I42" s="160"/>
      <c r="J42" s="160"/>
      <c r="K42" s="161"/>
      <c r="L42" s="23" t="s">
        <v>71</v>
      </c>
    </row>
    <row r="43" spans="1:12" x14ac:dyDescent="0.25">
      <c r="A43" s="66"/>
      <c r="B43" s="143" t="s">
        <v>1334</v>
      </c>
      <c r="C43" s="144"/>
      <c r="D43" s="158"/>
      <c r="E43" s="43">
        <v>75</v>
      </c>
      <c r="F43" s="159" t="s">
        <v>1335</v>
      </c>
      <c r="G43" s="160"/>
      <c r="H43" s="160"/>
      <c r="I43" s="160"/>
      <c r="J43" s="160"/>
      <c r="K43" s="161"/>
      <c r="L43" s="23" t="s">
        <v>33</v>
      </c>
    </row>
    <row r="44" spans="1:12" x14ac:dyDescent="0.25">
      <c r="A44" s="66" t="s">
        <v>1349</v>
      </c>
      <c r="B44" s="143" t="s">
        <v>1353</v>
      </c>
      <c r="C44" s="144"/>
      <c r="D44" s="158"/>
      <c r="E44" s="43">
        <v>203.08</v>
      </c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 t="s">
        <v>121</v>
      </c>
      <c r="B54" s="143" t="s">
        <v>1290</v>
      </c>
      <c r="C54" s="144">
        <v>802.36</v>
      </c>
      <c r="D54" s="158" t="s">
        <v>18</v>
      </c>
      <c r="E54" s="43">
        <v>356.95</v>
      </c>
      <c r="F54" s="163"/>
      <c r="G54" s="164"/>
      <c r="H54" s="164"/>
      <c r="I54" s="164"/>
      <c r="J54" s="164"/>
      <c r="K54" s="165"/>
      <c r="L54" s="20" t="s">
        <v>71</v>
      </c>
    </row>
    <row r="55" spans="1:12" x14ac:dyDescent="0.25">
      <c r="A55" s="66" t="s">
        <v>112</v>
      </c>
      <c r="B55" s="74"/>
      <c r="C55" s="75" t="s">
        <v>111</v>
      </c>
      <c r="D55" s="76"/>
      <c r="E55" s="43">
        <v>4788.8999999999996</v>
      </c>
      <c r="F55" s="81"/>
      <c r="G55" s="82"/>
      <c r="H55" s="82"/>
      <c r="I55" s="82"/>
      <c r="J55" s="82"/>
      <c r="K55" s="83"/>
      <c r="L55" s="20" t="s">
        <v>71</v>
      </c>
    </row>
    <row r="56" spans="1:12" x14ac:dyDescent="0.25">
      <c r="A56" s="66" t="s">
        <v>1292</v>
      </c>
      <c r="B56" s="74"/>
      <c r="C56" s="75" t="s">
        <v>1291</v>
      </c>
      <c r="D56" s="76"/>
      <c r="E56" s="43">
        <v>438.66</v>
      </c>
      <c r="F56" s="81"/>
      <c r="G56" s="82"/>
      <c r="H56" s="82"/>
      <c r="I56" s="82"/>
      <c r="J56" s="82"/>
      <c r="K56" s="83"/>
      <c r="L56" s="20" t="s">
        <v>71</v>
      </c>
    </row>
    <row r="57" spans="1:12" x14ac:dyDescent="0.25">
      <c r="A57" s="66" t="s">
        <v>1293</v>
      </c>
      <c r="B57" s="74"/>
      <c r="C57" s="75" t="s">
        <v>1190</v>
      </c>
      <c r="D57" s="76"/>
      <c r="E57" s="43">
        <v>2140.21</v>
      </c>
      <c r="F57" s="81"/>
      <c r="G57" s="82"/>
      <c r="H57" s="82"/>
      <c r="I57" s="82"/>
      <c r="J57" s="82"/>
      <c r="K57" s="83"/>
      <c r="L57" s="20" t="s">
        <v>71</v>
      </c>
    </row>
    <row r="58" spans="1:12" x14ac:dyDescent="0.25">
      <c r="A58" s="66" t="s">
        <v>117</v>
      </c>
      <c r="B58" s="74"/>
      <c r="C58" s="75" t="s">
        <v>1174</v>
      </c>
      <c r="D58" s="76"/>
      <c r="E58" s="43">
        <v>538.01</v>
      </c>
      <c r="F58" s="81"/>
      <c r="G58" s="82"/>
      <c r="H58" s="82"/>
      <c r="I58" s="82"/>
      <c r="J58" s="82"/>
      <c r="K58" s="83"/>
      <c r="L58" s="20" t="s">
        <v>71</v>
      </c>
    </row>
    <row r="59" spans="1:12" x14ac:dyDescent="0.25">
      <c r="A59" s="66" t="s">
        <v>117</v>
      </c>
      <c r="B59" s="74"/>
      <c r="C59" s="75" t="s">
        <v>1174</v>
      </c>
      <c r="D59" s="76"/>
      <c r="E59" s="43">
        <v>695.91</v>
      </c>
      <c r="F59" s="81"/>
      <c r="G59" s="82"/>
      <c r="H59" s="82"/>
      <c r="I59" s="82"/>
      <c r="J59" s="82"/>
      <c r="K59" s="83"/>
      <c r="L59" s="20" t="s">
        <v>71</v>
      </c>
    </row>
    <row r="60" spans="1:12" x14ac:dyDescent="0.25">
      <c r="A60" s="66" t="s">
        <v>117</v>
      </c>
      <c r="B60" s="74"/>
      <c r="C60" s="75" t="s">
        <v>1294</v>
      </c>
      <c r="D60" s="76"/>
      <c r="E60" s="43">
        <v>239.81</v>
      </c>
      <c r="F60" s="81"/>
      <c r="G60" s="82"/>
      <c r="H60" s="82"/>
      <c r="I60" s="82"/>
      <c r="J60" s="82"/>
      <c r="K60" s="83"/>
      <c r="L60" s="20" t="s">
        <v>71</v>
      </c>
    </row>
    <row r="61" spans="1:12" x14ac:dyDescent="0.25">
      <c r="A61" s="66" t="s">
        <v>1296</v>
      </c>
      <c r="B61" s="74"/>
      <c r="C61" s="75" t="s">
        <v>1295</v>
      </c>
      <c r="D61" s="76"/>
      <c r="E61" s="43">
        <v>4028.53</v>
      </c>
      <c r="F61" s="81"/>
      <c r="G61" s="82"/>
      <c r="H61" s="82"/>
      <c r="I61" s="82"/>
      <c r="J61" s="82"/>
      <c r="K61" s="83"/>
      <c r="L61" s="20" t="s">
        <v>71</v>
      </c>
    </row>
    <row r="62" spans="1:12" x14ac:dyDescent="0.25">
      <c r="A62" s="66" t="s">
        <v>1297</v>
      </c>
      <c r="B62" s="74"/>
      <c r="C62" s="75" t="s">
        <v>1256</v>
      </c>
      <c r="D62" s="76"/>
      <c r="E62" s="43">
        <v>501.9</v>
      </c>
      <c r="F62" s="81"/>
      <c r="G62" s="82"/>
      <c r="H62" s="82"/>
      <c r="I62" s="82"/>
      <c r="J62" s="82"/>
      <c r="K62" s="83"/>
      <c r="L62" s="20" t="s">
        <v>71</v>
      </c>
    </row>
    <row r="63" spans="1:12" x14ac:dyDescent="0.25">
      <c r="A63" s="66" t="s">
        <v>1299</v>
      </c>
      <c r="B63" s="74"/>
      <c r="C63" s="75" t="s">
        <v>1298</v>
      </c>
      <c r="D63" s="76"/>
      <c r="E63" s="43">
        <v>200</v>
      </c>
      <c r="F63" s="81"/>
      <c r="G63" s="82"/>
      <c r="H63" s="82"/>
      <c r="I63" s="82"/>
      <c r="J63" s="82"/>
      <c r="K63" s="83"/>
      <c r="L63" s="20" t="s">
        <v>71</v>
      </c>
    </row>
    <row r="64" spans="1:12" x14ac:dyDescent="0.25">
      <c r="A64" s="66" t="s">
        <v>129</v>
      </c>
      <c r="B64" s="74"/>
      <c r="C64" s="75" t="s">
        <v>1251</v>
      </c>
      <c r="D64" s="76"/>
      <c r="E64" s="43">
        <v>713.39</v>
      </c>
      <c r="F64" s="81"/>
      <c r="G64" s="82"/>
      <c r="H64" s="82"/>
      <c r="I64" s="82"/>
      <c r="J64" s="82"/>
      <c r="K64" s="83"/>
      <c r="L64" s="20" t="s">
        <v>71</v>
      </c>
    </row>
    <row r="65" spans="1:12" x14ac:dyDescent="0.25">
      <c r="A65" s="66" t="s">
        <v>1301</v>
      </c>
      <c r="B65" s="74"/>
      <c r="C65" s="75" t="s">
        <v>1300</v>
      </c>
      <c r="D65" s="76"/>
      <c r="E65" s="43">
        <v>2009.38</v>
      </c>
      <c r="F65" s="81"/>
      <c r="G65" s="82"/>
      <c r="H65" s="82"/>
      <c r="I65" s="82"/>
      <c r="J65" s="82"/>
      <c r="K65" s="83"/>
      <c r="L65" s="20" t="s">
        <v>71</v>
      </c>
    </row>
    <row r="66" spans="1:12" x14ac:dyDescent="0.25">
      <c r="A66" s="66" t="s">
        <v>1303</v>
      </c>
      <c r="B66" s="143" t="s">
        <v>1302</v>
      </c>
      <c r="C66" s="144">
        <v>675.28</v>
      </c>
      <c r="D66" s="158" t="s">
        <v>19</v>
      </c>
      <c r="E66" s="43">
        <v>1525.53</v>
      </c>
      <c r="F66" s="159"/>
      <c r="G66" s="160"/>
      <c r="H66" s="160"/>
      <c r="I66" s="160"/>
      <c r="J66" s="160"/>
      <c r="K66" s="161"/>
      <c r="L66" s="23" t="s">
        <v>71</v>
      </c>
    </row>
    <row r="67" spans="1:12" x14ac:dyDescent="0.25">
      <c r="A67" s="66" t="s">
        <v>131</v>
      </c>
      <c r="B67" s="143" t="s">
        <v>1304</v>
      </c>
      <c r="C67" s="144">
        <v>689.72</v>
      </c>
      <c r="D67" s="158" t="s">
        <v>19</v>
      </c>
      <c r="E67" s="43">
        <v>946.89</v>
      </c>
      <c r="F67" s="159"/>
      <c r="G67" s="160"/>
      <c r="H67" s="160"/>
      <c r="I67" s="160"/>
      <c r="J67" s="160"/>
      <c r="K67" s="161"/>
      <c r="L67" s="23" t="s">
        <v>71</v>
      </c>
    </row>
    <row r="68" spans="1:12" ht="16.5" thickBot="1" x14ac:dyDescent="0.3">
      <c r="A68" s="66" t="s">
        <v>1306</v>
      </c>
      <c r="B68" s="143" t="s">
        <v>1305</v>
      </c>
      <c r="C68" s="144">
        <v>340.26</v>
      </c>
      <c r="D68" s="158" t="s">
        <v>20</v>
      </c>
      <c r="E68" s="43">
        <v>1497.73</v>
      </c>
      <c r="F68" s="159"/>
      <c r="G68" s="160"/>
      <c r="H68" s="160"/>
      <c r="I68" s="160"/>
      <c r="J68" s="160"/>
      <c r="K68" s="161"/>
      <c r="L68" s="23" t="s">
        <v>71</v>
      </c>
    </row>
    <row r="69" spans="1:12" ht="16.5" thickBot="1" x14ac:dyDescent="0.3">
      <c r="A69" s="71" t="s">
        <v>458</v>
      </c>
      <c r="B69" s="166" t="s">
        <v>17</v>
      </c>
      <c r="C69" s="167"/>
      <c r="D69" s="168"/>
      <c r="E69" s="36" t="s">
        <v>8</v>
      </c>
      <c r="F69" s="119" t="s">
        <v>15</v>
      </c>
      <c r="G69" s="120"/>
      <c r="H69" s="120"/>
      <c r="I69" s="120"/>
      <c r="J69" s="120"/>
      <c r="K69" s="121"/>
      <c r="L69" s="39" t="s">
        <v>16</v>
      </c>
    </row>
    <row r="70" spans="1:12" x14ac:dyDescent="0.25">
      <c r="A70" s="66"/>
      <c r="B70" s="128"/>
      <c r="C70" s="129"/>
      <c r="D70" s="162"/>
      <c r="E70" s="43"/>
      <c r="F70" s="163"/>
      <c r="G70" s="164"/>
      <c r="H70" s="164"/>
      <c r="I70" s="164"/>
      <c r="J70" s="164"/>
      <c r="K70" s="165"/>
      <c r="L70" s="23"/>
    </row>
    <row r="71" spans="1:12" x14ac:dyDescent="0.25">
      <c r="A71" s="66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44"/>
    </row>
    <row r="72" spans="1:12" x14ac:dyDescent="0.25">
      <c r="A72" s="66"/>
      <c r="B72" s="143"/>
      <c r="C72" s="144"/>
      <c r="D72" s="158"/>
      <c r="E72" s="43"/>
      <c r="F72" s="193"/>
      <c r="G72" s="194"/>
      <c r="H72" s="194"/>
      <c r="I72" s="194"/>
      <c r="J72" s="194"/>
      <c r="K72" s="195"/>
      <c r="L72" s="44"/>
    </row>
    <row r="73" spans="1:12" x14ac:dyDescent="0.25">
      <c r="A73" s="66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44"/>
    </row>
    <row r="74" spans="1:12" x14ac:dyDescent="0.25">
      <c r="A74" s="66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44"/>
    </row>
    <row r="75" spans="1:12" ht="16.5" thickBot="1" x14ac:dyDescent="0.3">
      <c r="A75" s="67"/>
      <c r="B75" s="149"/>
      <c r="C75" s="150"/>
      <c r="D75" s="169"/>
      <c r="E75" s="43"/>
      <c r="F75" s="170"/>
      <c r="G75" s="171"/>
      <c r="H75" s="171"/>
      <c r="I75" s="171"/>
      <c r="J75" s="171"/>
      <c r="K75" s="172"/>
      <c r="L75" s="29"/>
    </row>
    <row r="76" spans="1:12" ht="16.5" thickBot="1" x14ac:dyDescent="0.3">
      <c r="A76" s="70" t="s">
        <v>458</v>
      </c>
      <c r="B76" s="173" t="s">
        <v>463</v>
      </c>
      <c r="C76" s="174"/>
      <c r="D76" s="175"/>
      <c r="E76" s="36" t="s">
        <v>8</v>
      </c>
      <c r="F76" s="119" t="s">
        <v>15</v>
      </c>
      <c r="G76" s="120"/>
      <c r="H76" s="120"/>
      <c r="I76" s="120"/>
      <c r="J76" s="120"/>
      <c r="K76" s="121"/>
      <c r="L76" s="39" t="s">
        <v>16</v>
      </c>
    </row>
    <row r="77" spans="1:12" ht="16.5" thickBot="1" x14ac:dyDescent="0.3">
      <c r="A77" s="17" t="s">
        <v>380</v>
      </c>
      <c r="B77" s="128" t="s">
        <v>1307</v>
      </c>
      <c r="C77" s="129"/>
      <c r="D77" s="162"/>
      <c r="E77" s="43">
        <v>2280.11</v>
      </c>
      <c r="F77" s="163"/>
      <c r="G77" s="164"/>
      <c r="H77" s="164"/>
      <c r="I77" s="164"/>
      <c r="J77" s="164"/>
      <c r="K77" s="165"/>
      <c r="L77" s="23" t="s">
        <v>71</v>
      </c>
    </row>
    <row r="78" spans="1:12" x14ac:dyDescent="0.25">
      <c r="A78" s="17" t="s">
        <v>1309</v>
      </c>
      <c r="B78" s="128" t="s">
        <v>1308</v>
      </c>
      <c r="C78" s="129"/>
      <c r="D78" s="162"/>
      <c r="E78" s="43">
        <v>678.23</v>
      </c>
      <c r="F78" s="159"/>
      <c r="G78" s="160"/>
      <c r="H78" s="160"/>
      <c r="I78" s="160"/>
      <c r="J78" s="160"/>
      <c r="K78" s="161"/>
      <c r="L78" s="23" t="s">
        <v>71</v>
      </c>
    </row>
    <row r="79" spans="1:12" x14ac:dyDescent="0.25">
      <c r="A79" s="17" t="s">
        <v>1314</v>
      </c>
      <c r="B79" s="143" t="s">
        <v>1313</v>
      </c>
      <c r="C79" s="144"/>
      <c r="D79" s="158"/>
      <c r="E79" s="43">
        <v>320.54000000000002</v>
      </c>
      <c r="F79" s="159"/>
      <c r="G79" s="160"/>
      <c r="H79" s="160"/>
      <c r="I79" s="160"/>
      <c r="J79" s="160"/>
      <c r="K79" s="161"/>
      <c r="L79" s="23" t="s">
        <v>71</v>
      </c>
    </row>
    <row r="80" spans="1:12" x14ac:dyDescent="0.25">
      <c r="A80" s="17" t="s">
        <v>132</v>
      </c>
      <c r="B80" s="143" t="s">
        <v>1317</v>
      </c>
      <c r="C80" s="144"/>
      <c r="D80" s="158"/>
      <c r="E80" s="43">
        <v>673.55</v>
      </c>
      <c r="F80" s="159"/>
      <c r="G80" s="160"/>
      <c r="H80" s="160"/>
      <c r="I80" s="160"/>
      <c r="J80" s="160"/>
      <c r="K80" s="161"/>
      <c r="L80" s="23" t="s">
        <v>71</v>
      </c>
    </row>
    <row r="81" spans="1:12" x14ac:dyDescent="0.25">
      <c r="A81" s="17" t="s">
        <v>263</v>
      </c>
      <c r="B81" s="143" t="s">
        <v>1199</v>
      </c>
      <c r="C81" s="144"/>
      <c r="D81" s="158"/>
      <c r="E81" s="43">
        <v>1276.96</v>
      </c>
      <c r="F81" s="159"/>
      <c r="G81" s="160"/>
      <c r="H81" s="160"/>
      <c r="I81" s="160"/>
      <c r="J81" s="160"/>
      <c r="K81" s="161"/>
      <c r="L81" s="23" t="s">
        <v>71</v>
      </c>
    </row>
    <row r="82" spans="1:12" x14ac:dyDescent="0.25">
      <c r="A82" s="17" t="s">
        <v>1319</v>
      </c>
      <c r="B82" s="143" t="s">
        <v>1318</v>
      </c>
      <c r="C82" s="144"/>
      <c r="D82" s="158"/>
      <c r="E82" s="43">
        <v>816.6</v>
      </c>
      <c r="F82" s="159"/>
      <c r="G82" s="160"/>
      <c r="H82" s="160"/>
      <c r="I82" s="160"/>
      <c r="J82" s="160"/>
      <c r="K82" s="161"/>
      <c r="L82" s="23" t="s">
        <v>71</v>
      </c>
    </row>
    <row r="83" spans="1:12" x14ac:dyDescent="0.25">
      <c r="A83" s="17" t="s">
        <v>1320</v>
      </c>
      <c r="B83" s="143" t="s">
        <v>1321</v>
      </c>
      <c r="C83" s="144"/>
      <c r="D83" s="158"/>
      <c r="E83" s="43">
        <v>276.05</v>
      </c>
      <c r="F83" s="159"/>
      <c r="G83" s="160"/>
      <c r="H83" s="160"/>
      <c r="I83" s="160"/>
      <c r="J83" s="160"/>
      <c r="K83" s="161"/>
      <c r="L83" s="23" t="s">
        <v>71</v>
      </c>
    </row>
    <row r="84" spans="1:12" x14ac:dyDescent="0.25">
      <c r="A84" s="17" t="s">
        <v>1323</v>
      </c>
      <c r="B84" s="143" t="s">
        <v>1322</v>
      </c>
      <c r="C84" s="144"/>
      <c r="D84" s="158"/>
      <c r="E84" s="43">
        <v>265.85000000000002</v>
      </c>
      <c r="F84" s="159"/>
      <c r="G84" s="160"/>
      <c r="H84" s="160"/>
      <c r="I84" s="160"/>
      <c r="J84" s="160"/>
      <c r="K84" s="161"/>
      <c r="L84" s="23" t="s">
        <v>71</v>
      </c>
    </row>
    <row r="85" spans="1:12" x14ac:dyDescent="0.25">
      <c r="A85" s="17" t="s">
        <v>1327</v>
      </c>
      <c r="B85" s="143" t="s">
        <v>1326</v>
      </c>
      <c r="C85" s="144"/>
      <c r="D85" s="158"/>
      <c r="E85" s="43">
        <v>514.84</v>
      </c>
      <c r="F85" s="159"/>
      <c r="G85" s="160"/>
      <c r="H85" s="160"/>
      <c r="I85" s="160"/>
      <c r="J85" s="160"/>
      <c r="K85" s="161"/>
      <c r="L85" s="23" t="s">
        <v>71</v>
      </c>
    </row>
    <row r="86" spans="1:12" x14ac:dyDescent="0.25">
      <c r="A86" s="17" t="s">
        <v>1329</v>
      </c>
      <c r="B86" s="74"/>
      <c r="C86" s="75" t="s">
        <v>1328</v>
      </c>
      <c r="D86" s="76"/>
      <c r="E86" s="43">
        <v>1463.32</v>
      </c>
      <c r="F86" s="77"/>
      <c r="G86" s="78"/>
      <c r="H86" s="78"/>
      <c r="I86" s="78"/>
      <c r="J86" s="78"/>
      <c r="K86" s="79"/>
      <c r="L86" s="23" t="s">
        <v>71</v>
      </c>
    </row>
    <row r="87" spans="1:12" x14ac:dyDescent="0.25">
      <c r="A87" s="17" t="s">
        <v>83</v>
      </c>
      <c r="B87" s="74"/>
      <c r="C87" s="75" t="s">
        <v>1179</v>
      </c>
      <c r="D87" s="76"/>
      <c r="E87" s="43">
        <v>1767.98</v>
      </c>
      <c r="F87" s="77"/>
      <c r="G87" s="78"/>
      <c r="H87" s="78"/>
      <c r="I87" s="78"/>
      <c r="J87" s="78"/>
      <c r="K87" s="79"/>
      <c r="L87" s="23" t="s">
        <v>71</v>
      </c>
    </row>
    <row r="88" spans="1:12" x14ac:dyDescent="0.25">
      <c r="A88" s="17" t="s">
        <v>1339</v>
      </c>
      <c r="B88" s="74"/>
      <c r="C88" s="75" t="s">
        <v>1338</v>
      </c>
      <c r="D88" s="76"/>
      <c r="E88" s="43">
        <v>358.4</v>
      </c>
      <c r="F88" s="77"/>
      <c r="G88" s="78"/>
      <c r="H88" s="78"/>
      <c r="I88" s="78"/>
      <c r="J88" s="78"/>
      <c r="K88" s="79"/>
      <c r="L88" s="23" t="s">
        <v>71</v>
      </c>
    </row>
    <row r="89" spans="1:12" x14ac:dyDescent="0.25">
      <c r="A89" s="17" t="s">
        <v>133</v>
      </c>
      <c r="B89" s="143" t="s">
        <v>1340</v>
      </c>
      <c r="C89" s="144"/>
      <c r="D89" s="158"/>
      <c r="E89" s="43">
        <v>469.82</v>
      </c>
      <c r="F89" s="159"/>
      <c r="G89" s="160"/>
      <c r="H89" s="160"/>
      <c r="I89" s="160"/>
      <c r="J89" s="160"/>
      <c r="K89" s="161"/>
      <c r="L89" s="17" t="s">
        <v>71</v>
      </c>
    </row>
    <row r="90" spans="1:12" x14ac:dyDescent="0.25">
      <c r="A90" s="17" t="s">
        <v>246</v>
      </c>
      <c r="B90" s="143" t="s">
        <v>1341</v>
      </c>
      <c r="C90" s="144"/>
      <c r="D90" s="158"/>
      <c r="E90" s="43">
        <v>376.21</v>
      </c>
      <c r="F90" s="159"/>
      <c r="G90" s="160"/>
      <c r="H90" s="160"/>
      <c r="I90" s="160"/>
      <c r="J90" s="160"/>
      <c r="K90" s="161"/>
      <c r="L90" s="17" t="s">
        <v>71</v>
      </c>
    </row>
    <row r="91" spans="1:12" x14ac:dyDescent="0.25">
      <c r="A91" s="17" t="s">
        <v>70</v>
      </c>
      <c r="B91" s="74"/>
      <c r="C91" s="75" t="s">
        <v>69</v>
      </c>
      <c r="D91" s="76"/>
      <c r="E91" s="43">
        <v>705.64</v>
      </c>
      <c r="F91" s="77"/>
      <c r="G91" s="78"/>
      <c r="H91" s="78"/>
      <c r="I91" s="78"/>
      <c r="J91" s="78"/>
      <c r="K91" s="79"/>
      <c r="L91" s="17" t="s">
        <v>71</v>
      </c>
    </row>
    <row r="92" spans="1:12" x14ac:dyDescent="0.25">
      <c r="A92" s="17" t="s">
        <v>1346</v>
      </c>
      <c r="B92" s="74"/>
      <c r="C92" s="75" t="s">
        <v>1345</v>
      </c>
      <c r="D92" s="76"/>
      <c r="E92" s="43">
        <v>384.76</v>
      </c>
      <c r="F92" s="77"/>
      <c r="G92" s="78"/>
      <c r="H92" s="78"/>
      <c r="I92" s="78"/>
      <c r="J92" s="78"/>
      <c r="K92" s="79"/>
      <c r="L92" s="17" t="s">
        <v>33</v>
      </c>
    </row>
    <row r="93" spans="1:12" x14ac:dyDescent="0.25">
      <c r="A93" s="17" t="s">
        <v>1348</v>
      </c>
      <c r="B93" s="74"/>
      <c r="C93" s="75" t="s">
        <v>1347</v>
      </c>
      <c r="D93" s="76"/>
      <c r="E93" s="43">
        <v>1733.79</v>
      </c>
      <c r="F93" s="77"/>
      <c r="G93" s="78"/>
      <c r="H93" s="78"/>
      <c r="I93" s="78"/>
      <c r="J93" s="78"/>
      <c r="K93" s="79"/>
      <c r="L93" s="17" t="s">
        <v>33</v>
      </c>
    </row>
    <row r="94" spans="1:12" x14ac:dyDescent="0.25">
      <c r="A94" s="17"/>
      <c r="B94" s="74"/>
      <c r="C94" s="75"/>
      <c r="D94" s="76"/>
      <c r="E94" s="43"/>
      <c r="F94" s="77"/>
      <c r="G94" s="78"/>
      <c r="H94" s="78"/>
      <c r="I94" s="78"/>
      <c r="J94" s="78"/>
      <c r="K94" s="79"/>
      <c r="L94" s="17"/>
    </row>
    <row r="95" spans="1:12" x14ac:dyDescent="0.25">
      <c r="A95" s="17"/>
      <c r="B95" s="74"/>
      <c r="C95" s="75"/>
      <c r="D95" s="76"/>
      <c r="E95" s="43"/>
      <c r="F95" s="77"/>
      <c r="G95" s="78"/>
      <c r="H95" s="78"/>
      <c r="I95" s="78"/>
      <c r="J95" s="78"/>
      <c r="K95" s="79"/>
      <c r="L95" s="17"/>
    </row>
    <row r="96" spans="1:12" x14ac:dyDescent="0.25">
      <c r="A96" s="17"/>
      <c r="B96" s="74"/>
      <c r="C96" s="75"/>
      <c r="D96" s="76"/>
      <c r="E96" s="43"/>
      <c r="F96" s="77"/>
      <c r="G96" s="78"/>
      <c r="H96" s="78"/>
      <c r="I96" s="78"/>
      <c r="J96" s="78"/>
      <c r="K96" s="79"/>
      <c r="L96" s="17"/>
    </row>
    <row r="97" spans="1:12" x14ac:dyDescent="0.25">
      <c r="A97" s="17"/>
      <c r="B97" s="143"/>
      <c r="C97" s="144"/>
      <c r="D97" s="158"/>
      <c r="E97" s="43"/>
      <c r="F97" s="159"/>
      <c r="G97" s="160"/>
      <c r="H97" s="160"/>
      <c r="I97" s="160"/>
      <c r="J97" s="160"/>
      <c r="K97" s="161"/>
      <c r="L97" s="17"/>
    </row>
    <row r="98" spans="1:12" ht="16.5" thickBot="1" x14ac:dyDescent="0.3">
      <c r="A98" s="26"/>
      <c r="B98" s="149"/>
      <c r="C98" s="150"/>
      <c r="D98" s="169"/>
      <c r="E98" s="45"/>
      <c r="F98" s="170"/>
      <c r="G98" s="171"/>
      <c r="H98" s="171"/>
      <c r="I98" s="171"/>
      <c r="J98" s="171"/>
      <c r="K98" s="172"/>
      <c r="L98" s="26"/>
    </row>
    <row r="99" spans="1:12" x14ac:dyDescent="0.25">
      <c r="A99" s="68"/>
      <c r="B99" s="69"/>
      <c r="C99" s="46"/>
      <c r="D99" s="46"/>
      <c r="F99" s="47"/>
      <c r="G99" s="47"/>
      <c r="H99" s="47"/>
      <c r="I99" s="47"/>
      <c r="J99" s="47"/>
      <c r="K99" s="47"/>
    </row>
    <row r="100" spans="1:12" x14ac:dyDescent="0.25">
      <c r="B100" s="176" t="s">
        <v>464</v>
      </c>
      <c r="C100" s="176"/>
      <c r="D100" s="176"/>
      <c r="E100" s="6">
        <f>SUM(E39:E47)</f>
        <v>1630.3400000000001</v>
      </c>
      <c r="F100" s="6"/>
      <c r="G100" s="6"/>
      <c r="H100" s="6"/>
      <c r="I100" s="6"/>
      <c r="J100" s="6"/>
      <c r="K100" s="6"/>
    </row>
    <row r="101" spans="1:12" x14ac:dyDescent="0.25">
      <c r="B101" s="176" t="s">
        <v>465</v>
      </c>
      <c r="C101" s="176"/>
      <c r="D101" s="176"/>
      <c r="E101" s="6">
        <f>SUM(E20:E37)</f>
        <v>4013.64</v>
      </c>
    </row>
    <row r="102" spans="1:12" x14ac:dyDescent="0.25">
      <c r="B102" s="176" t="s">
        <v>466</v>
      </c>
      <c r="C102" s="176"/>
      <c r="D102" s="176"/>
      <c r="E102" s="6">
        <f>SUM(E49:E68)</f>
        <v>20621.799999999996</v>
      </c>
    </row>
    <row r="107" spans="1:12" ht="18.75" x14ac:dyDescent="0.3">
      <c r="B107" s="48"/>
    </row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66:D66"/>
    <mergeCell ref="F66:K66"/>
    <mergeCell ref="B67:D67"/>
    <mergeCell ref="F67:K67"/>
    <mergeCell ref="B51:D51"/>
    <mergeCell ref="F51:K51"/>
    <mergeCell ref="B52:D52"/>
    <mergeCell ref="F52:K52"/>
    <mergeCell ref="B53:D53"/>
    <mergeCell ref="F53:K53"/>
    <mergeCell ref="B71:D71"/>
    <mergeCell ref="F71:K71"/>
    <mergeCell ref="B72:D72"/>
    <mergeCell ref="F72:K72"/>
    <mergeCell ref="B73:D73"/>
    <mergeCell ref="F73:K73"/>
    <mergeCell ref="B68:D68"/>
    <mergeCell ref="F68:K68"/>
    <mergeCell ref="B69:D69"/>
    <mergeCell ref="F69:K69"/>
    <mergeCell ref="B70:D70"/>
    <mergeCell ref="F70:K70"/>
    <mergeCell ref="B77:D77"/>
    <mergeCell ref="F77:K77"/>
    <mergeCell ref="B78:D78"/>
    <mergeCell ref="F78:K78"/>
    <mergeCell ref="B74:D74"/>
    <mergeCell ref="F74:K74"/>
    <mergeCell ref="B75:D75"/>
    <mergeCell ref="F75:K75"/>
    <mergeCell ref="B76:D76"/>
    <mergeCell ref="F76:K76"/>
    <mergeCell ref="B82:D82"/>
    <mergeCell ref="F82:K82"/>
    <mergeCell ref="B83:D83"/>
    <mergeCell ref="F83:K83"/>
    <mergeCell ref="B84:D84"/>
    <mergeCell ref="F84:K84"/>
    <mergeCell ref="B79:D79"/>
    <mergeCell ref="F79:K79"/>
    <mergeCell ref="B80:D80"/>
    <mergeCell ref="F80:K80"/>
    <mergeCell ref="B81:D81"/>
    <mergeCell ref="F81:K81"/>
    <mergeCell ref="B102:D102"/>
    <mergeCell ref="B97:D97"/>
    <mergeCell ref="F97:K97"/>
    <mergeCell ref="B98:D98"/>
    <mergeCell ref="F98:K98"/>
    <mergeCell ref="B101:D101"/>
    <mergeCell ref="B85:D85"/>
    <mergeCell ref="F85:K85"/>
    <mergeCell ref="B89:D89"/>
    <mergeCell ref="F89:K89"/>
    <mergeCell ref="B90:D90"/>
    <mergeCell ref="F90:K90"/>
    <mergeCell ref="B100:D100"/>
  </mergeCells>
  <conditionalFormatting sqref="A18:A19 B82:XFD104">
    <cfRule type="cellIs" dxfId="197" priority="1" stopIfTrue="1" operator="equal">
      <formula>"OK"</formula>
    </cfRule>
  </conditionalFormatting>
  <conditionalFormatting sqref="A105:XFD1048576">
    <cfRule type="cellIs" dxfId="196" priority="13" stopIfTrue="1" operator="equal">
      <formula>"OK"</formula>
    </cfRule>
  </conditionalFormatting>
  <conditionalFormatting sqref="B49:B52 B20:H37">
    <cfRule type="expression" dxfId="195" priority="20">
      <formula>$J20="ancien paiement"</formula>
    </cfRule>
  </conditionalFormatting>
  <conditionalFormatting sqref="B71:B73 E71:F73 B78:D78 E78:F79 B79 B80:XFD80 B81 E81:F81 B19:H37 B38:XFD47 B74:XFD77 B69:XFD70 B1:J1 M1:XFD1 A2:XFD2 E3 G3:I3 M3:XFD3 B3:D6 K4 P4:XFD7 K5:L7 B7:I7 B8:D8 F8 I8 M8:XFD8 L9:XFD16 A17:XFD17 M18:XFD18 L19:XFD37 M48:XFD68 L71:XFD73 L78:XFD79 L81:XFD81">
    <cfRule type="cellIs" dxfId="194" priority="22" stopIfTrue="1" operator="equal">
      <formula>"OK"</formula>
    </cfRule>
  </conditionalFormatting>
  <conditionalFormatting sqref="B9:I16">
    <cfRule type="cellIs" dxfId="193" priority="11" stopIfTrue="1" operator="equal">
      <formula>"OK"</formula>
    </cfRule>
  </conditionalFormatting>
  <conditionalFormatting sqref="B39:K39">
    <cfRule type="expression" dxfId="192" priority="18">
      <formula>$J39="ancien paiement"</formula>
    </cfRule>
  </conditionalFormatting>
  <conditionalFormatting sqref="B39:K48 B49:B52">
    <cfRule type="expression" dxfId="191" priority="5">
      <formula>$F39="ancien paiement"</formula>
    </cfRule>
  </conditionalFormatting>
  <conditionalFormatting sqref="B41:K48">
    <cfRule type="expression" dxfId="190" priority="6">
      <formula>$J41="ancien paiement"</formula>
    </cfRule>
  </conditionalFormatting>
  <conditionalFormatting sqref="B54:K70">
    <cfRule type="expression" dxfId="189" priority="7">
      <formula>$F54="ancien paiement"</formula>
    </cfRule>
    <cfRule type="expression" dxfId="188" priority="8">
      <formula>$J54="ancien paiement"</formula>
    </cfRule>
  </conditionalFormatting>
  <conditionalFormatting sqref="B74:K75">
    <cfRule type="expression" dxfId="187" priority="16">
      <formula>$F74="ancien paiement"</formula>
    </cfRule>
    <cfRule type="expression" dxfId="186" priority="17">
      <formula>$J74="ancien paiement"</formula>
    </cfRule>
  </conditionalFormatting>
  <conditionalFormatting sqref="B77:K77">
    <cfRule type="expression" dxfId="185" priority="14">
      <formula>$F77="ancien paiement"</formula>
    </cfRule>
    <cfRule type="expression" dxfId="184" priority="15">
      <formula>$J77="ancien paiement"</formula>
    </cfRule>
  </conditionalFormatting>
  <conditionalFormatting sqref="B82:K98 B71:B73 E71:F73 B78:D78 E78:F79 B79 B80:K80 B81 E81:F81">
    <cfRule type="expression" dxfId="183" priority="19">
      <formula>$F71="ancien paiement"</formula>
    </cfRule>
    <cfRule type="expression" dxfId="182" priority="21">
      <formula>$J71="ancien paiement"</formula>
    </cfRule>
  </conditionalFormatting>
  <conditionalFormatting sqref="B51:L68 B48:L49 B50:D50">
    <cfRule type="cellIs" dxfId="181" priority="9" stopIfTrue="1" operator="equal">
      <formula>"OK"</formula>
    </cfRule>
  </conditionalFormatting>
  <conditionalFormatting sqref="E49">
    <cfRule type="expression" dxfId="180" priority="10">
      <formula>#REF!="ancien paiement"</formula>
    </cfRule>
  </conditionalFormatting>
  <conditionalFormatting sqref="E49:F52">
    <cfRule type="expression" dxfId="179" priority="2">
      <formula>$F49="ancien paiement"</formula>
    </cfRule>
    <cfRule type="expression" dxfId="178" priority="3">
      <formula>$J49="ancien paiement"</formula>
    </cfRule>
  </conditionalFormatting>
  <conditionalFormatting sqref="E4:I6">
    <cfRule type="cellIs" dxfId="177" priority="12" stopIfTrue="1" operator="equal">
      <formula>"OK"</formula>
    </cfRule>
  </conditionalFormatting>
  <conditionalFormatting sqref="E50:L50">
    <cfRule type="cellIs" dxfId="176" priority="4" stopIfTrue="1" operator="equal">
      <formula>"OK"</formula>
    </cfRule>
  </conditionalFormatting>
  <pageMargins left="0.7" right="0.7" top="0.75" bottom="0.75" header="0.3" footer="0.3"/>
  <pageSetup paperSize="9" scale="45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9CFC-59E2-4C53-9F98-183C70CEFCB0}">
  <sheetPr>
    <pageSetUpPr fitToPage="1"/>
  </sheetPr>
  <dimension ref="A1:N104"/>
  <sheetViews>
    <sheetView topLeftCell="A11" workbookViewId="0">
      <selection activeCell="G6" sqref="G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46136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1464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7465</v>
      </c>
      <c r="G4" s="1" t="s">
        <v>1465</v>
      </c>
      <c r="I4" s="112" t="s">
        <v>3</v>
      </c>
      <c r="J4" s="113"/>
      <c r="K4" s="114">
        <f>E97+C14</f>
        <v>7493.09</v>
      </c>
      <c r="L4" s="115"/>
      <c r="N4" s="6"/>
    </row>
    <row r="5" spans="2:14" ht="16.5" thickBot="1" x14ac:dyDescent="0.3">
      <c r="E5" s="7" t="s">
        <v>4</v>
      </c>
      <c r="F5" s="8">
        <v>4576.1400000000003</v>
      </c>
      <c r="G5" s="1" t="s">
        <v>1466</v>
      </c>
      <c r="I5" s="95" t="s">
        <v>5</v>
      </c>
      <c r="J5" s="96"/>
      <c r="K5" s="97">
        <f>E15+E98</f>
        <v>4576.1399999999994</v>
      </c>
      <c r="L5" s="98"/>
      <c r="N5" s="6"/>
    </row>
    <row r="6" spans="2:14" ht="16.5" thickBot="1" x14ac:dyDescent="0.3">
      <c r="E6" s="9" t="s">
        <v>445</v>
      </c>
      <c r="F6" s="85">
        <v>28.09</v>
      </c>
      <c r="I6" s="95" t="s">
        <v>446</v>
      </c>
      <c r="J6" s="96"/>
      <c r="K6" s="97">
        <f>G15+E99</f>
        <v>20645.41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2050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900</v>
      </c>
      <c r="D10" s="19" t="s">
        <v>1282</v>
      </c>
      <c r="E10" s="49">
        <v>589.66999999999996</v>
      </c>
      <c r="F10" s="20" t="s">
        <v>9</v>
      </c>
      <c r="G10" s="21">
        <v>18456.89</v>
      </c>
      <c r="H10" s="6"/>
      <c r="I10" s="137" t="s">
        <v>1463</v>
      </c>
      <c r="J10" s="138"/>
      <c r="K10" s="139"/>
      <c r="L10" s="21">
        <v>233</v>
      </c>
    </row>
    <row r="11" spans="2:14" ht="21.6" customHeight="1" x14ac:dyDescent="0.25">
      <c r="B11" s="17" t="s">
        <v>453</v>
      </c>
      <c r="C11" s="18">
        <v>1490</v>
      </c>
      <c r="D11" s="22" t="s">
        <v>161</v>
      </c>
      <c r="E11" s="50">
        <v>669.02</v>
      </c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>
        <v>410</v>
      </c>
      <c r="D12" s="22" t="s">
        <v>1462</v>
      </c>
      <c r="E12" s="50">
        <v>213.39</v>
      </c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4850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323</v>
      </c>
      <c r="D15" s="28" t="s">
        <v>11</v>
      </c>
      <c r="E15" s="29">
        <f>SUM(E10:E14)</f>
        <v>1472.08</v>
      </c>
      <c r="F15" s="30" t="s">
        <v>11</v>
      </c>
      <c r="G15" s="31">
        <f>SUM(G10:G14)</f>
        <v>18456.89</v>
      </c>
      <c r="H15" s="6"/>
      <c r="I15" s="116" t="s">
        <v>457</v>
      </c>
      <c r="J15" s="117"/>
      <c r="K15" s="118"/>
      <c r="L15" s="32">
        <f>C15-'23'!C15</f>
        <v>-60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-173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90</v>
      </c>
      <c r="B20" s="128" t="s">
        <v>1140</v>
      </c>
      <c r="C20" s="129"/>
      <c r="D20" s="130"/>
      <c r="E20" s="20">
        <v>697.27</v>
      </c>
      <c r="F20" s="12" t="s">
        <v>75</v>
      </c>
      <c r="G20" s="51">
        <v>304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1421</v>
      </c>
      <c r="B21" s="143" t="s">
        <v>1420</v>
      </c>
      <c r="C21" s="144"/>
      <c r="D21" s="145"/>
      <c r="E21" s="20">
        <v>310.52999999999997</v>
      </c>
      <c r="F21" s="23" t="s">
        <v>35</v>
      </c>
      <c r="G21" s="52">
        <v>7379318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1435</v>
      </c>
      <c r="B22" s="143" t="s">
        <v>1434</v>
      </c>
      <c r="C22" s="144"/>
      <c r="D22" s="145"/>
      <c r="E22" s="20">
        <v>442.53</v>
      </c>
      <c r="F22" s="23" t="s">
        <v>1344</v>
      </c>
      <c r="G22" s="52">
        <v>9978479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139</v>
      </c>
      <c r="B23" s="143" t="s">
        <v>1436</v>
      </c>
      <c r="C23" s="144"/>
      <c r="D23" s="145"/>
      <c r="E23" s="20">
        <v>313.91000000000003</v>
      </c>
      <c r="F23" s="23" t="s">
        <v>60</v>
      </c>
      <c r="G23" s="52">
        <v>8328842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1451</v>
      </c>
      <c r="B24" s="143" t="s">
        <v>1450</v>
      </c>
      <c r="C24" s="144"/>
      <c r="D24" s="145"/>
      <c r="E24" s="20">
        <v>613.66999999999996</v>
      </c>
      <c r="F24" s="23" t="s">
        <v>62</v>
      </c>
      <c r="G24" s="52">
        <v>397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1461</v>
      </c>
      <c r="B25" s="143" t="s">
        <v>1460</v>
      </c>
      <c r="C25" s="144"/>
      <c r="D25" s="145"/>
      <c r="E25" s="20">
        <v>726.15</v>
      </c>
      <c r="F25" s="23" t="s">
        <v>35</v>
      </c>
      <c r="G25" s="52">
        <v>8153979</v>
      </c>
      <c r="H25" s="146"/>
      <c r="I25" s="147"/>
      <c r="J25" s="147"/>
      <c r="K25" s="148"/>
      <c r="L25" s="23" t="s">
        <v>33</v>
      </c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1417</v>
      </c>
      <c r="B39" s="128" t="s">
        <v>1416</v>
      </c>
      <c r="C39" s="129"/>
      <c r="D39" s="162"/>
      <c r="E39" s="41">
        <v>512.62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51</v>
      </c>
      <c r="B40" s="143" t="s">
        <v>1429</v>
      </c>
      <c r="C40" s="144"/>
      <c r="D40" s="158"/>
      <c r="E40" s="43">
        <v>431.22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1431</v>
      </c>
      <c r="B41" s="143" t="s">
        <v>1430</v>
      </c>
      <c r="C41" s="144"/>
      <c r="D41" s="158"/>
      <c r="E41" s="43">
        <v>270.05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 t="s">
        <v>1433</v>
      </c>
      <c r="B42" s="143" t="s">
        <v>1432</v>
      </c>
      <c r="C42" s="144"/>
      <c r="D42" s="158"/>
      <c r="E42" s="43">
        <v>617.78</v>
      </c>
      <c r="F42" s="159"/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 t="s">
        <v>1447</v>
      </c>
      <c r="B43" s="143" t="s">
        <v>1446</v>
      </c>
      <c r="C43" s="144"/>
      <c r="D43" s="158"/>
      <c r="E43" s="43">
        <v>811.42</v>
      </c>
      <c r="F43" s="159"/>
      <c r="G43" s="160"/>
      <c r="H43" s="160"/>
      <c r="I43" s="160"/>
      <c r="J43" s="160"/>
      <c r="K43" s="161"/>
      <c r="L43" s="23" t="s">
        <v>33</v>
      </c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1414</v>
      </c>
      <c r="C49" s="144"/>
      <c r="D49" s="158"/>
      <c r="E49" s="43">
        <v>1380.65</v>
      </c>
      <c r="F49" s="86">
        <v>27.86</v>
      </c>
      <c r="G49" s="18">
        <v>1352.79</v>
      </c>
      <c r="H49" s="196" t="s">
        <v>1171</v>
      </c>
      <c r="I49" s="196"/>
      <c r="J49" s="196"/>
      <c r="K49" s="197"/>
      <c r="L49" s="20" t="s">
        <v>33</v>
      </c>
    </row>
    <row r="50" spans="1:12" x14ac:dyDescent="0.25">
      <c r="A50" s="66"/>
      <c r="B50" s="143" t="s">
        <v>1415</v>
      </c>
      <c r="C50" s="144"/>
      <c r="D50" s="158"/>
      <c r="E50" s="43">
        <v>496.42</v>
      </c>
      <c r="F50" s="86">
        <v>3.08</v>
      </c>
      <c r="G50" s="18">
        <v>493.34</v>
      </c>
      <c r="H50" s="160" t="s">
        <v>1171</v>
      </c>
      <c r="I50" s="160"/>
      <c r="J50" s="160"/>
      <c r="K50" s="161"/>
      <c r="L50" s="20" t="s">
        <v>33</v>
      </c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 t="s">
        <v>1443</v>
      </c>
      <c r="B54" s="143" t="s">
        <v>1439</v>
      </c>
      <c r="C54" s="144">
        <v>802.36</v>
      </c>
      <c r="D54" s="158" t="s">
        <v>18</v>
      </c>
      <c r="E54" s="43">
        <v>311.45</v>
      </c>
      <c r="F54" s="163" t="s">
        <v>516</v>
      </c>
      <c r="G54" s="164"/>
      <c r="H54" s="164"/>
      <c r="I54" s="164"/>
      <c r="J54" s="164"/>
      <c r="K54" s="165"/>
      <c r="L54" s="20" t="s">
        <v>71</v>
      </c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1253</v>
      </c>
      <c r="B66" s="128" t="s">
        <v>1252</v>
      </c>
      <c r="C66" s="129"/>
      <c r="D66" s="162"/>
      <c r="E66" s="43">
        <v>282.70999999999998</v>
      </c>
      <c r="F66" s="163"/>
      <c r="G66" s="164"/>
      <c r="H66" s="164"/>
      <c r="I66" s="164"/>
      <c r="J66" s="164"/>
      <c r="K66" s="165"/>
      <c r="L66" s="23" t="s">
        <v>33</v>
      </c>
    </row>
    <row r="67" spans="1:12" x14ac:dyDescent="0.25">
      <c r="A67" s="17" t="s">
        <v>1419</v>
      </c>
      <c r="B67" s="128" t="s">
        <v>1418</v>
      </c>
      <c r="C67" s="129"/>
      <c r="D67" s="162"/>
      <c r="E67" s="43">
        <v>342.52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 t="s">
        <v>285</v>
      </c>
      <c r="B68" s="143" t="s">
        <v>1422</v>
      </c>
      <c r="C68" s="144"/>
      <c r="D68" s="158"/>
      <c r="E68" s="43">
        <v>513.63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17" t="s">
        <v>193</v>
      </c>
      <c r="B69" s="143" t="s">
        <v>1139</v>
      </c>
      <c r="C69" s="144"/>
      <c r="D69" s="158"/>
      <c r="E69" s="43">
        <v>1487.85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144</v>
      </c>
      <c r="B70" s="143" t="s">
        <v>314</v>
      </c>
      <c r="C70" s="144"/>
      <c r="D70" s="158"/>
      <c r="E70" s="43">
        <v>307.83999999999997</v>
      </c>
      <c r="F70" s="159"/>
      <c r="G70" s="160"/>
      <c r="H70" s="160"/>
      <c r="I70" s="160"/>
      <c r="J70" s="160"/>
      <c r="K70" s="161"/>
      <c r="L70" s="23" t="s">
        <v>71</v>
      </c>
    </row>
    <row r="71" spans="1:12" x14ac:dyDescent="0.25">
      <c r="A71" s="17" t="s">
        <v>142</v>
      </c>
      <c r="B71" s="143" t="s">
        <v>141</v>
      </c>
      <c r="C71" s="144"/>
      <c r="D71" s="158"/>
      <c r="E71" s="43">
        <v>4499.28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1424</v>
      </c>
      <c r="B72" s="143" t="s">
        <v>1423</v>
      </c>
      <c r="C72" s="144"/>
      <c r="D72" s="158"/>
      <c r="E72" s="43">
        <v>1370.13</v>
      </c>
      <c r="F72" s="159"/>
      <c r="G72" s="160"/>
      <c r="H72" s="160"/>
      <c r="I72" s="160"/>
      <c r="J72" s="160"/>
      <c r="K72" s="161"/>
      <c r="L72" s="23" t="s">
        <v>33</v>
      </c>
    </row>
    <row r="73" spans="1:12" x14ac:dyDescent="0.25">
      <c r="A73" s="17" t="s">
        <v>184</v>
      </c>
      <c r="B73" s="143" t="s">
        <v>1425</v>
      </c>
      <c r="C73" s="144"/>
      <c r="D73" s="158"/>
      <c r="E73" s="43">
        <v>252.98</v>
      </c>
      <c r="F73" s="159"/>
      <c r="G73" s="160"/>
      <c r="H73" s="160"/>
      <c r="I73" s="160"/>
      <c r="J73" s="160"/>
      <c r="K73" s="161"/>
      <c r="L73" s="23" t="s">
        <v>33</v>
      </c>
    </row>
    <row r="74" spans="1:12" x14ac:dyDescent="0.25">
      <c r="A74" s="17" t="s">
        <v>306</v>
      </c>
      <c r="B74" s="74"/>
      <c r="C74" s="75" t="s">
        <v>1426</v>
      </c>
      <c r="D74" s="76"/>
      <c r="E74" s="43">
        <v>586.62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 t="s">
        <v>1428</v>
      </c>
      <c r="B75" s="74"/>
      <c r="C75" s="75" t="s">
        <v>1427</v>
      </c>
      <c r="D75" s="76"/>
      <c r="E75" s="43">
        <v>323.51</v>
      </c>
      <c r="F75" s="77"/>
      <c r="G75" s="78"/>
      <c r="H75" s="78"/>
      <c r="I75" s="78"/>
      <c r="J75" s="78"/>
      <c r="K75" s="79"/>
      <c r="L75" s="23" t="s">
        <v>33</v>
      </c>
    </row>
    <row r="76" spans="1:12" x14ac:dyDescent="0.25">
      <c r="A76" s="17" t="s">
        <v>1438</v>
      </c>
      <c r="B76" s="74"/>
      <c r="C76" s="75" t="s">
        <v>1437</v>
      </c>
      <c r="D76" s="76"/>
      <c r="E76" s="43">
        <v>2600.56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1440</v>
      </c>
      <c r="B77" s="74"/>
      <c r="C77" s="75" t="s">
        <v>1439</v>
      </c>
      <c r="D77" s="76"/>
      <c r="E77" s="43">
        <v>311.45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65</v>
      </c>
      <c r="B78" s="74"/>
      <c r="C78" s="75" t="s">
        <v>1441</v>
      </c>
      <c r="D78" s="76"/>
      <c r="E78" s="43">
        <v>322.55</v>
      </c>
      <c r="F78" s="77"/>
      <c r="G78" s="78"/>
      <c r="H78" s="78"/>
      <c r="I78" s="78"/>
      <c r="J78" s="78"/>
      <c r="K78" s="79"/>
      <c r="L78" s="23" t="s">
        <v>33</v>
      </c>
    </row>
    <row r="79" spans="1:12" x14ac:dyDescent="0.25">
      <c r="A79" s="17" t="s">
        <v>98</v>
      </c>
      <c r="B79" s="143" t="s">
        <v>1442</v>
      </c>
      <c r="C79" s="144"/>
      <c r="D79" s="158"/>
      <c r="E79" s="43">
        <v>374.85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1445</v>
      </c>
      <c r="B80" s="74"/>
      <c r="C80" s="75" t="s">
        <v>1444</v>
      </c>
      <c r="D80" s="76"/>
      <c r="E80" s="43">
        <v>926.95</v>
      </c>
      <c r="F80" s="77"/>
      <c r="G80" s="78"/>
      <c r="H80" s="78"/>
      <c r="I80" s="78"/>
      <c r="J80" s="78"/>
      <c r="K80" s="79"/>
      <c r="L80" s="23" t="s">
        <v>33</v>
      </c>
    </row>
    <row r="81" spans="1:12" x14ac:dyDescent="0.25">
      <c r="A81" s="17" t="s">
        <v>1449</v>
      </c>
      <c r="B81" s="74"/>
      <c r="C81" s="75" t="s">
        <v>1448</v>
      </c>
      <c r="D81" s="76"/>
      <c r="E81" s="43">
        <v>5333.23</v>
      </c>
      <c r="F81" s="77"/>
      <c r="G81" s="78"/>
      <c r="H81" s="78"/>
      <c r="I81" s="78"/>
      <c r="J81" s="78"/>
      <c r="K81" s="79"/>
      <c r="L81" s="23" t="s">
        <v>33</v>
      </c>
    </row>
    <row r="82" spans="1:12" x14ac:dyDescent="0.25">
      <c r="A82" s="17" t="s">
        <v>91</v>
      </c>
      <c r="B82" s="74"/>
      <c r="C82" s="75" t="s">
        <v>1452</v>
      </c>
      <c r="D82" s="76"/>
      <c r="E82" s="43">
        <v>1020.89</v>
      </c>
      <c r="F82" s="77"/>
      <c r="G82" s="78"/>
      <c r="H82" s="78"/>
      <c r="I82" s="78"/>
      <c r="J82" s="78"/>
      <c r="K82" s="79"/>
      <c r="L82" s="23" t="s">
        <v>33</v>
      </c>
    </row>
    <row r="83" spans="1:12" x14ac:dyDescent="0.25">
      <c r="A83" s="17" t="s">
        <v>219</v>
      </c>
      <c r="B83" s="74"/>
      <c r="C83" s="75" t="s">
        <v>1453</v>
      </c>
      <c r="D83" s="76"/>
      <c r="E83" s="43">
        <v>822.36</v>
      </c>
      <c r="F83" s="77"/>
      <c r="G83" s="78"/>
      <c r="H83" s="78"/>
      <c r="I83" s="78"/>
      <c r="J83" s="78"/>
      <c r="K83" s="79"/>
      <c r="L83" s="23" t="s">
        <v>33</v>
      </c>
    </row>
    <row r="84" spans="1:12" x14ac:dyDescent="0.25">
      <c r="A84" s="17" t="s">
        <v>200</v>
      </c>
      <c r="B84" s="74"/>
      <c r="C84" s="75" t="s">
        <v>1454</v>
      </c>
      <c r="D84" s="76"/>
      <c r="E84" s="43">
        <v>758.06</v>
      </c>
      <c r="F84" s="77"/>
      <c r="G84" s="78"/>
      <c r="H84" s="78"/>
      <c r="I84" s="78"/>
      <c r="J84" s="78"/>
      <c r="K84" s="79"/>
      <c r="L84" s="23" t="s">
        <v>33</v>
      </c>
    </row>
    <row r="85" spans="1:12" x14ac:dyDescent="0.25">
      <c r="A85" s="17" t="s">
        <v>180</v>
      </c>
      <c r="B85" s="74"/>
      <c r="C85" s="75" t="s">
        <v>179</v>
      </c>
      <c r="D85" s="76"/>
      <c r="E85" s="43">
        <v>303.67</v>
      </c>
      <c r="F85" s="77"/>
      <c r="G85" s="78"/>
      <c r="H85" s="78"/>
      <c r="I85" s="78"/>
      <c r="J85" s="78"/>
      <c r="K85" s="79"/>
      <c r="L85" s="23" t="s">
        <v>33</v>
      </c>
    </row>
    <row r="86" spans="1:12" x14ac:dyDescent="0.25">
      <c r="A86" s="17" t="s">
        <v>1253</v>
      </c>
      <c r="B86" s="74"/>
      <c r="C86" s="75" t="s">
        <v>1252</v>
      </c>
      <c r="D86" s="76"/>
      <c r="E86" s="43">
        <v>252.19</v>
      </c>
      <c r="F86" s="77"/>
      <c r="G86" s="78"/>
      <c r="H86" s="78"/>
      <c r="I86" s="78"/>
      <c r="J86" s="78"/>
      <c r="K86" s="79"/>
      <c r="L86" s="23" t="s">
        <v>33</v>
      </c>
    </row>
    <row r="87" spans="1:12" x14ac:dyDescent="0.25">
      <c r="A87" s="17" t="s">
        <v>1456</v>
      </c>
      <c r="B87" s="74"/>
      <c r="C87" s="75" t="s">
        <v>1455</v>
      </c>
      <c r="D87" s="76"/>
      <c r="E87" s="43">
        <v>674.43</v>
      </c>
      <c r="F87" s="77"/>
      <c r="G87" s="78"/>
      <c r="H87" s="78"/>
      <c r="I87" s="78"/>
      <c r="J87" s="78"/>
      <c r="K87" s="79"/>
      <c r="L87" s="23" t="s">
        <v>33</v>
      </c>
    </row>
    <row r="88" spans="1:12" x14ac:dyDescent="0.25">
      <c r="A88" s="17" t="s">
        <v>1458</v>
      </c>
      <c r="B88" s="74"/>
      <c r="C88" s="75" t="s">
        <v>1457</v>
      </c>
      <c r="D88" s="76"/>
      <c r="E88" s="43">
        <v>1746.32</v>
      </c>
      <c r="F88" s="77"/>
      <c r="G88" s="78"/>
      <c r="H88" s="78"/>
      <c r="I88" s="78"/>
      <c r="J88" s="78"/>
      <c r="K88" s="79"/>
      <c r="L88" s="23" t="s">
        <v>33</v>
      </c>
    </row>
    <row r="89" spans="1:12" x14ac:dyDescent="0.25">
      <c r="A89" s="17" t="s">
        <v>194</v>
      </c>
      <c r="B89" s="143" t="s">
        <v>1459</v>
      </c>
      <c r="C89" s="144"/>
      <c r="D89" s="158"/>
      <c r="E89" s="43">
        <v>809.3</v>
      </c>
      <c r="F89" s="159"/>
      <c r="G89" s="160"/>
      <c r="H89" s="160"/>
      <c r="I89" s="160"/>
      <c r="J89" s="160"/>
      <c r="K89" s="161"/>
      <c r="L89" s="17" t="s">
        <v>33</v>
      </c>
    </row>
    <row r="90" spans="1:12" x14ac:dyDescent="0.25">
      <c r="A90" s="17"/>
      <c r="B90" s="74"/>
      <c r="C90" s="75"/>
      <c r="D90" s="76"/>
      <c r="E90" s="43"/>
      <c r="F90" s="77"/>
      <c r="G90" s="78"/>
      <c r="H90" s="78"/>
      <c r="I90" s="78"/>
      <c r="J90" s="78"/>
      <c r="K90" s="79"/>
      <c r="L90" s="17"/>
    </row>
    <row r="91" spans="1:12" x14ac:dyDescent="0.25">
      <c r="A91" s="17"/>
      <c r="B91" s="74"/>
      <c r="C91" s="75"/>
      <c r="D91" s="76"/>
      <c r="E91" s="43"/>
      <c r="F91" s="77"/>
      <c r="G91" s="78"/>
      <c r="H91" s="78"/>
      <c r="I91" s="78"/>
      <c r="J91" s="78"/>
      <c r="K91" s="79"/>
      <c r="L91" s="17"/>
    </row>
    <row r="92" spans="1:12" x14ac:dyDescent="0.25">
      <c r="A92" s="17"/>
      <c r="B92" s="74"/>
      <c r="C92" s="75"/>
      <c r="D92" s="76"/>
      <c r="E92" s="43"/>
      <c r="F92" s="77"/>
      <c r="G92" s="78"/>
      <c r="H92" s="78"/>
      <c r="I92" s="78"/>
      <c r="J92" s="78"/>
      <c r="K92" s="79"/>
      <c r="L92" s="17"/>
    </row>
    <row r="93" spans="1:12" x14ac:dyDescent="0.25">
      <c r="A93" s="17"/>
      <c r="B93" s="143"/>
      <c r="C93" s="144"/>
      <c r="D93" s="158"/>
      <c r="E93" s="43"/>
      <c r="F93" s="159"/>
      <c r="G93" s="160"/>
      <c r="H93" s="160"/>
      <c r="I93" s="160"/>
      <c r="J93" s="160"/>
      <c r="K93" s="161"/>
      <c r="L93" s="17"/>
    </row>
    <row r="94" spans="1:12" x14ac:dyDescent="0.25">
      <c r="A94" s="17"/>
      <c r="B94" s="143"/>
      <c r="C94" s="144"/>
      <c r="D94" s="158"/>
      <c r="E94" s="43"/>
      <c r="F94" s="159"/>
      <c r="G94" s="160"/>
      <c r="H94" s="160"/>
      <c r="I94" s="160"/>
      <c r="J94" s="160"/>
      <c r="K94" s="161"/>
      <c r="L94" s="17"/>
    </row>
    <row r="95" spans="1:12" ht="16.5" thickBot="1" x14ac:dyDescent="0.3">
      <c r="A95" s="26"/>
      <c r="B95" s="149"/>
      <c r="C95" s="150"/>
      <c r="D95" s="169"/>
      <c r="E95" s="45"/>
      <c r="F95" s="170"/>
      <c r="G95" s="171"/>
      <c r="H95" s="171"/>
      <c r="I95" s="171"/>
      <c r="J95" s="171"/>
      <c r="K95" s="172"/>
      <c r="L95" s="26"/>
    </row>
    <row r="96" spans="1:12" x14ac:dyDescent="0.25">
      <c r="A96" s="68"/>
      <c r="B96" s="69"/>
      <c r="C96" s="46"/>
      <c r="D96" s="46"/>
      <c r="F96" s="47"/>
      <c r="G96" s="47"/>
      <c r="H96" s="47"/>
      <c r="I96" s="47"/>
      <c r="J96" s="47"/>
      <c r="K96" s="47"/>
    </row>
    <row r="97" spans="2:11" x14ac:dyDescent="0.25">
      <c r="B97" s="176" t="s">
        <v>464</v>
      </c>
      <c r="C97" s="176"/>
      <c r="D97" s="176"/>
      <c r="E97" s="6">
        <f>SUM(E39:E47)</f>
        <v>2643.09</v>
      </c>
      <c r="F97" s="6"/>
      <c r="G97" s="6"/>
      <c r="H97" s="6"/>
      <c r="I97" s="6"/>
      <c r="J97" s="6"/>
      <c r="K97" s="6"/>
    </row>
    <row r="98" spans="2:11" x14ac:dyDescent="0.25">
      <c r="B98" s="176" t="s">
        <v>465</v>
      </c>
      <c r="C98" s="176"/>
      <c r="D98" s="176"/>
      <c r="E98" s="6">
        <f>SUM(E20:E37)</f>
        <v>3104.06</v>
      </c>
    </row>
    <row r="99" spans="2:11" x14ac:dyDescent="0.25">
      <c r="B99" s="176" t="s">
        <v>466</v>
      </c>
      <c r="C99" s="176"/>
      <c r="D99" s="176"/>
      <c r="E99" s="6">
        <f>SUM(E49:E57)</f>
        <v>2188.52</v>
      </c>
    </row>
    <row r="104" spans="2:11" ht="18.75" x14ac:dyDescent="0.3">
      <c r="B104" s="48"/>
    </row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1:K21"/>
    <mergeCell ref="I9:K9"/>
    <mergeCell ref="I10:K10"/>
    <mergeCell ref="I11:K11"/>
    <mergeCell ref="I12:K12"/>
    <mergeCell ref="I13:K13"/>
    <mergeCell ref="I14:K14"/>
    <mergeCell ref="A18:L18"/>
    <mergeCell ref="H20:K20"/>
    <mergeCell ref="B24:D24"/>
    <mergeCell ref="H24:K24"/>
    <mergeCell ref="B25:D25"/>
    <mergeCell ref="H25:K25"/>
    <mergeCell ref="B26:D26"/>
    <mergeCell ref="H26:K26"/>
    <mergeCell ref="B21:D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B50:D50"/>
    <mergeCell ref="B45:D45"/>
    <mergeCell ref="F45:K45"/>
    <mergeCell ref="B46:D46"/>
    <mergeCell ref="F46:K46"/>
    <mergeCell ref="B47:D47"/>
    <mergeCell ref="F47:K47"/>
    <mergeCell ref="H49:K49"/>
    <mergeCell ref="H50:K50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3:D73"/>
    <mergeCell ref="F73:K73"/>
    <mergeCell ref="B79:D79"/>
    <mergeCell ref="F79:K79"/>
    <mergeCell ref="B69:D69"/>
    <mergeCell ref="F69:K69"/>
    <mergeCell ref="B70:D70"/>
    <mergeCell ref="F70:K70"/>
    <mergeCell ref="B71:D71"/>
    <mergeCell ref="F71:K71"/>
    <mergeCell ref="B98:D98"/>
    <mergeCell ref="B99:D99"/>
    <mergeCell ref="B89:D89"/>
    <mergeCell ref="F89:K89"/>
    <mergeCell ref="B93:D93"/>
    <mergeCell ref="F93:K93"/>
    <mergeCell ref="B94:D94"/>
    <mergeCell ref="F94:K94"/>
    <mergeCell ref="B95:D95"/>
    <mergeCell ref="F95:K95"/>
    <mergeCell ref="B97:D97"/>
  </mergeCells>
  <conditionalFormatting sqref="A18:A19">
    <cfRule type="cellIs" dxfId="175" priority="1" stopIfTrue="1" operator="equal">
      <formula>"OK"</formula>
    </cfRule>
  </conditionalFormatting>
  <conditionalFormatting sqref="A102:XFD1048576">
    <cfRule type="cellIs" dxfId="174" priority="13" stopIfTrue="1" operator="equal">
      <formula>"OK"</formula>
    </cfRule>
  </conditionalFormatting>
  <conditionalFormatting sqref="B49:B52 B20:H37">
    <cfRule type="expression" dxfId="173" priority="20">
      <formula>$J20="ancien paiement"</formula>
    </cfRule>
  </conditionalFormatting>
  <conditionalFormatting sqref="B60:B62 E60:F62 B67:D67 E67:F68 B68 B69:K69 B70 E70:F70 B71:K95">
    <cfRule type="expression" dxfId="172" priority="19">
      <formula>$F60="ancien paiement"</formula>
    </cfRule>
    <cfRule type="expression" dxfId="171" priority="21">
      <formula>$J60="ancien paiement"</formula>
    </cfRule>
  </conditionalFormatting>
  <conditionalFormatting sqref="B60:B62 E60:F62 B67:D67 E67:F68 B68 B69:XFD69 B70 E70:F70 B71:XFD101 B19:H37 B38:XFD47 B63:XFD66 B58:XFD59 B1:J1 M1:XFD1 A2:XFD2 E3 G3:I3 M3:XFD3 B3:D6 K4 P4:XFD7 K5:L7 B7:I7 B8:D8 F8 I8 M8:XFD8 L9:XFD16 A17:XFD17 M18:XFD18 L19:XFD37 M48:XFD57 L60:XFD62 L67:XFD68 L70:XFD70">
    <cfRule type="cellIs" dxfId="170" priority="22" stopIfTrue="1" operator="equal">
      <formula>"OK"</formula>
    </cfRule>
  </conditionalFormatting>
  <conditionalFormatting sqref="B9:I16">
    <cfRule type="cellIs" dxfId="169" priority="11" stopIfTrue="1" operator="equal">
      <formula>"OK"</formula>
    </cfRule>
  </conditionalFormatting>
  <conditionalFormatting sqref="B39:K39">
    <cfRule type="expression" dxfId="168" priority="18">
      <formula>$J39="ancien paiement"</formula>
    </cfRule>
  </conditionalFormatting>
  <conditionalFormatting sqref="B39:K48 B49:B52">
    <cfRule type="expression" dxfId="167" priority="5">
      <formula>$F39="ancien paiement"</formula>
    </cfRule>
  </conditionalFormatting>
  <conditionalFormatting sqref="B41:K48">
    <cfRule type="expression" dxfId="166" priority="6">
      <formula>$J41="ancien paiement"</formula>
    </cfRule>
  </conditionalFormatting>
  <conditionalFormatting sqref="B54:K59">
    <cfRule type="expression" dxfId="165" priority="7">
      <formula>$F54="ancien paiement"</formula>
    </cfRule>
    <cfRule type="expression" dxfId="164" priority="8">
      <formula>$J54="ancien paiement"</formula>
    </cfRule>
  </conditionalFormatting>
  <conditionalFormatting sqref="B63:K64">
    <cfRule type="expression" dxfId="163" priority="16">
      <formula>$F63="ancien paiement"</formula>
    </cfRule>
    <cfRule type="expression" dxfId="162" priority="17">
      <formula>$J63="ancien paiement"</formula>
    </cfRule>
  </conditionalFormatting>
  <conditionalFormatting sqref="B66:K66">
    <cfRule type="expression" dxfId="161" priority="14">
      <formula>$F66="ancien paiement"</formula>
    </cfRule>
    <cfRule type="expression" dxfId="160" priority="15">
      <formula>$J66="ancien paiement"</formula>
    </cfRule>
  </conditionalFormatting>
  <conditionalFormatting sqref="B51:L57 B48:L48 B49:H49 B50:D50">
    <cfRule type="cellIs" dxfId="159" priority="9" stopIfTrue="1" operator="equal">
      <formula>"OK"</formula>
    </cfRule>
  </conditionalFormatting>
  <conditionalFormatting sqref="E49">
    <cfRule type="expression" dxfId="158" priority="10">
      <formula>#REF!="ancien paiement"</formula>
    </cfRule>
  </conditionalFormatting>
  <conditionalFormatting sqref="E49:F52">
    <cfRule type="expression" dxfId="157" priority="2">
      <formula>$F49="ancien paiement"</formula>
    </cfRule>
    <cfRule type="expression" dxfId="156" priority="3">
      <formula>$J49="ancien paiement"</formula>
    </cfRule>
  </conditionalFormatting>
  <conditionalFormatting sqref="E50:H50 L49:L50">
    <cfRule type="cellIs" dxfId="155" priority="4" stopIfTrue="1" operator="equal">
      <formula>"OK"</formula>
    </cfRule>
  </conditionalFormatting>
  <conditionalFormatting sqref="E4:I6">
    <cfRule type="cellIs" dxfId="154" priority="12" stopIfTrue="1" operator="equal">
      <formula>"OK"</formula>
    </cfRule>
  </conditionalFormatting>
  <pageMargins left="0.7" right="0.7" top="0.75" bottom="0.75" header="0.3" footer="0.3"/>
  <pageSetup paperSize="9" scale="46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09C5-98D3-4F5A-BBDD-947693C197ED}">
  <sheetPr>
    <pageSetUpPr fitToPage="1"/>
  </sheetPr>
  <dimension ref="A1:N117"/>
  <sheetViews>
    <sheetView topLeftCell="A24" workbookViewId="0">
      <selection activeCell="F49" sqref="F49:K49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46137</v>
      </c>
      <c r="K1" s="105"/>
      <c r="L1" s="105"/>
    </row>
    <row r="2" spans="2:14" ht="16.5" thickBot="1" x14ac:dyDescent="0.3">
      <c r="G2" s="1" t="s">
        <v>1473</v>
      </c>
      <c r="J2" s="2" t="s">
        <v>1467</v>
      </c>
      <c r="K2" s="3"/>
      <c r="L2" s="3"/>
    </row>
    <row r="3" spans="2:14" ht="16.5" thickBot="1" x14ac:dyDescent="0.3">
      <c r="E3" s="106" t="s">
        <v>444</v>
      </c>
      <c r="F3" s="107"/>
      <c r="G3" s="1" t="s">
        <v>1474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11955</v>
      </c>
      <c r="G4" s="1" t="s">
        <v>1475</v>
      </c>
      <c r="I4" s="112" t="s">
        <v>3</v>
      </c>
      <c r="J4" s="113"/>
      <c r="K4" s="114">
        <f>E80+C14</f>
        <v>11956.75</v>
      </c>
      <c r="L4" s="115"/>
      <c r="N4" s="6"/>
    </row>
    <row r="5" spans="2:14" ht="16.5" thickBot="1" x14ac:dyDescent="0.3">
      <c r="E5" s="7" t="s">
        <v>4</v>
      </c>
      <c r="F5" s="8">
        <v>1383.68</v>
      </c>
      <c r="G5" s="1" t="s">
        <v>1476</v>
      </c>
      <c r="I5" s="95" t="s">
        <v>5</v>
      </c>
      <c r="J5" s="96"/>
      <c r="K5" s="97">
        <f>E15+E81</f>
        <v>1383.6799999999998</v>
      </c>
      <c r="L5" s="98"/>
      <c r="N5" s="6"/>
    </row>
    <row r="6" spans="2:14" ht="16.5" thickBot="1" x14ac:dyDescent="0.3">
      <c r="E6" s="9" t="s">
        <v>445</v>
      </c>
      <c r="F6" s="10">
        <v>1.75</v>
      </c>
      <c r="I6" s="95" t="s">
        <v>446</v>
      </c>
      <c r="J6" s="96"/>
      <c r="K6" s="97">
        <f>G15+E82</f>
        <v>26970.91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6850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2420</v>
      </c>
      <c r="D10" s="19" t="s">
        <v>1468</v>
      </c>
      <c r="E10" s="49">
        <v>417.29</v>
      </c>
      <c r="F10" s="20" t="s">
        <v>9</v>
      </c>
      <c r="G10" s="21">
        <v>26970.91</v>
      </c>
      <c r="H10" s="6"/>
      <c r="I10" s="137" t="s">
        <v>1283</v>
      </c>
      <c r="J10" s="138"/>
      <c r="K10" s="139"/>
      <c r="L10" s="21">
        <v>50</v>
      </c>
    </row>
    <row r="11" spans="2:14" ht="21.6" customHeight="1" x14ac:dyDescent="0.25">
      <c r="B11" s="17" t="s">
        <v>453</v>
      </c>
      <c r="C11" s="18">
        <v>2510</v>
      </c>
      <c r="D11" s="22" t="s">
        <v>1469</v>
      </c>
      <c r="E11" s="50">
        <v>576.99</v>
      </c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>
        <v>130</v>
      </c>
      <c r="D12" s="22" t="s">
        <v>1282</v>
      </c>
      <c r="E12" s="50">
        <v>389.4</v>
      </c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11910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241</v>
      </c>
      <c r="D15" s="28" t="s">
        <v>11</v>
      </c>
      <c r="E15" s="29">
        <f>SUM(E10:E14)</f>
        <v>1383.6799999999998</v>
      </c>
      <c r="F15" s="30" t="s">
        <v>11</v>
      </c>
      <c r="G15" s="31">
        <f>SUM(G10:G14)</f>
        <v>26970.91</v>
      </c>
      <c r="H15" s="6"/>
      <c r="I15" s="116" t="s">
        <v>457</v>
      </c>
      <c r="J15" s="117"/>
      <c r="K15" s="118"/>
      <c r="L15" s="32">
        <f>C15-'24'!C15</f>
        <v>-82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32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 t="s">
        <v>1470</v>
      </c>
      <c r="C39" s="129"/>
      <c r="D39" s="162"/>
      <c r="E39" s="41">
        <v>46.75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1471</v>
      </c>
      <c r="C49" s="144"/>
      <c r="D49" s="158"/>
      <c r="E49" s="43"/>
      <c r="F49" s="159" t="s">
        <v>1472</v>
      </c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46.75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117" s="1" customFormat="1" x14ac:dyDescent="0.25"/>
  </sheetData>
  <mergeCells count="145">
    <mergeCell ref="B54:D54"/>
    <mergeCell ref="F54:K54"/>
    <mergeCell ref="B55:D55"/>
    <mergeCell ref="F55:K55"/>
    <mergeCell ref="B56:D56"/>
    <mergeCell ref="F56:K56"/>
    <mergeCell ref="B57:D57"/>
    <mergeCell ref="F57:K57"/>
    <mergeCell ref="B49:D49"/>
    <mergeCell ref="F49:K49"/>
    <mergeCell ref="B50:D50"/>
    <mergeCell ref="F50:K50"/>
    <mergeCell ref="B51:D51"/>
    <mergeCell ref="F51:K51"/>
    <mergeCell ref="B52:D52"/>
    <mergeCell ref="F52:K52"/>
    <mergeCell ref="B53:D53"/>
    <mergeCell ref="F53:K53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4:D24"/>
    <mergeCell ref="H24:K24"/>
    <mergeCell ref="B25:D25"/>
    <mergeCell ref="H25:K25"/>
    <mergeCell ref="B21:D21"/>
    <mergeCell ref="H21:K21"/>
    <mergeCell ref="B22:D22"/>
    <mergeCell ref="H22:K22"/>
    <mergeCell ref="B23:D23"/>
    <mergeCell ref="H23:K23"/>
    <mergeCell ref="B29:D29"/>
    <mergeCell ref="H29:K29"/>
    <mergeCell ref="B30:D30"/>
    <mergeCell ref="H30:K30"/>
    <mergeCell ref="B31:D31"/>
    <mergeCell ref="H31:K31"/>
    <mergeCell ref="B26:D26"/>
    <mergeCell ref="H26:K26"/>
    <mergeCell ref="B27:D27"/>
    <mergeCell ref="H27:K27"/>
    <mergeCell ref="B28:D28"/>
    <mergeCell ref="H28:K28"/>
    <mergeCell ref="B35:D35"/>
    <mergeCell ref="H35:K35"/>
    <mergeCell ref="B36:D36"/>
    <mergeCell ref="H36:K36"/>
    <mergeCell ref="B37:D37"/>
    <mergeCell ref="B32:D32"/>
    <mergeCell ref="H32:K32"/>
    <mergeCell ref="B33:D33"/>
    <mergeCell ref="H33:K33"/>
    <mergeCell ref="B34:D34"/>
    <mergeCell ref="H34:K34"/>
    <mergeCell ref="H37:K37"/>
    <mergeCell ref="B40:D40"/>
    <mergeCell ref="F40:K40"/>
    <mergeCell ref="B41:D41"/>
    <mergeCell ref="F41:K41"/>
    <mergeCell ref="F42:K42"/>
    <mergeCell ref="B38:D38"/>
    <mergeCell ref="F38:K38"/>
    <mergeCell ref="B48:D48"/>
    <mergeCell ref="F48:K48"/>
    <mergeCell ref="B39:D39"/>
    <mergeCell ref="F39:K39"/>
    <mergeCell ref="B46:D46"/>
    <mergeCell ref="F46:K46"/>
    <mergeCell ref="B47:D47"/>
    <mergeCell ref="F47:K47"/>
    <mergeCell ref="B42:D42"/>
    <mergeCell ref="F43:K43"/>
    <mergeCell ref="B44:D44"/>
    <mergeCell ref="F44:K44"/>
    <mergeCell ref="B45:D45"/>
    <mergeCell ref="F45:K45"/>
    <mergeCell ref="B43:D43"/>
    <mergeCell ref="B61:D61"/>
    <mergeCell ref="F61:K61"/>
    <mergeCell ref="B62:D62"/>
    <mergeCell ref="F62:K62"/>
    <mergeCell ref="B63:D63"/>
    <mergeCell ref="F63:K63"/>
    <mergeCell ref="B58:D58"/>
    <mergeCell ref="F58:K58"/>
    <mergeCell ref="B59:D59"/>
    <mergeCell ref="F59:K59"/>
    <mergeCell ref="B60:D60"/>
    <mergeCell ref="F60:K60"/>
    <mergeCell ref="B64:D64"/>
    <mergeCell ref="F64:K64"/>
    <mergeCell ref="B65:D65"/>
    <mergeCell ref="F65:K65"/>
    <mergeCell ref="B66:D66"/>
    <mergeCell ref="F66:K66"/>
    <mergeCell ref="B68:D68"/>
    <mergeCell ref="F68:K68"/>
    <mergeCell ref="B69:D69"/>
    <mergeCell ref="F69:K69"/>
    <mergeCell ref="B73:D73"/>
    <mergeCell ref="F73:K73"/>
    <mergeCell ref="B74:D74"/>
    <mergeCell ref="F74:K74"/>
    <mergeCell ref="B75:D75"/>
    <mergeCell ref="F75:K75"/>
    <mergeCell ref="B67:D67"/>
    <mergeCell ref="F67:K67"/>
    <mergeCell ref="B71:D71"/>
    <mergeCell ref="F71:K71"/>
    <mergeCell ref="B72:D72"/>
    <mergeCell ref="F72:K72"/>
    <mergeCell ref="B70:D70"/>
    <mergeCell ref="F70:K70"/>
    <mergeCell ref="B82:D82"/>
    <mergeCell ref="B80:D80"/>
    <mergeCell ref="B81:D81"/>
    <mergeCell ref="B76:D76"/>
    <mergeCell ref="F76:K76"/>
    <mergeCell ref="B77:D77"/>
    <mergeCell ref="F77:K77"/>
    <mergeCell ref="B78:D78"/>
    <mergeCell ref="F78:K78"/>
  </mergeCells>
  <conditionalFormatting sqref="A18:A19">
    <cfRule type="cellIs" dxfId="153" priority="1" stopIfTrue="1" operator="equal">
      <formula>"OK"</formula>
    </cfRule>
  </conditionalFormatting>
  <conditionalFormatting sqref="A85:XFD1048576">
    <cfRule type="cellIs" dxfId="152" priority="13" stopIfTrue="1" operator="equal">
      <formula>"OK"</formula>
    </cfRule>
  </conditionalFormatting>
  <conditionalFormatting sqref="B49:B52 B20:H37">
    <cfRule type="expression" dxfId="151" priority="20">
      <formula>$J20="ancien paiement"</formula>
    </cfRule>
  </conditionalFormatting>
  <conditionalFormatting sqref="B60:B62 E60:F62 B67:D67 E67:F68 B68 B69:K69 B70 E70:F70 B71:K78">
    <cfRule type="expression" dxfId="150" priority="19">
      <formula>$F60="ancien paiement"</formula>
    </cfRule>
    <cfRule type="expression" dxfId="149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148" priority="22" stopIfTrue="1" operator="equal">
      <formula>"OK"</formula>
    </cfRule>
  </conditionalFormatting>
  <conditionalFormatting sqref="B9:I16">
    <cfRule type="cellIs" dxfId="147" priority="11" stopIfTrue="1" operator="equal">
      <formula>"OK"</formula>
    </cfRule>
  </conditionalFormatting>
  <conditionalFormatting sqref="B39:K39">
    <cfRule type="expression" dxfId="146" priority="18">
      <formula>$J39="ancien paiement"</formula>
    </cfRule>
  </conditionalFormatting>
  <conditionalFormatting sqref="B39:K48 B49:B52">
    <cfRule type="expression" dxfId="145" priority="5">
      <formula>$F39="ancien paiement"</formula>
    </cfRule>
  </conditionalFormatting>
  <conditionalFormatting sqref="B41:K48">
    <cfRule type="expression" dxfId="144" priority="6">
      <formula>$J41="ancien paiement"</formula>
    </cfRule>
  </conditionalFormatting>
  <conditionalFormatting sqref="B54:K59">
    <cfRule type="expression" dxfId="143" priority="7">
      <formula>$F54="ancien paiement"</formula>
    </cfRule>
    <cfRule type="expression" dxfId="142" priority="8">
      <formula>$J54="ancien paiement"</formula>
    </cfRule>
  </conditionalFormatting>
  <conditionalFormatting sqref="B63:K64">
    <cfRule type="expression" dxfId="141" priority="16">
      <formula>$F63="ancien paiement"</formula>
    </cfRule>
    <cfRule type="expression" dxfId="140" priority="17">
      <formula>$J63="ancien paiement"</formula>
    </cfRule>
  </conditionalFormatting>
  <conditionalFormatting sqref="B66:K66">
    <cfRule type="expression" dxfId="139" priority="14">
      <formula>$F66="ancien paiement"</formula>
    </cfRule>
    <cfRule type="expression" dxfId="138" priority="15">
      <formula>$J66="ancien paiement"</formula>
    </cfRule>
  </conditionalFormatting>
  <conditionalFormatting sqref="B51:L57 B48:L49 B50:D50">
    <cfRule type="cellIs" dxfId="137" priority="9" stopIfTrue="1" operator="equal">
      <formula>"OK"</formula>
    </cfRule>
  </conditionalFormatting>
  <conditionalFormatting sqref="E49">
    <cfRule type="expression" dxfId="136" priority="10">
      <formula>#REF!="ancien paiement"</formula>
    </cfRule>
  </conditionalFormatting>
  <conditionalFormatting sqref="E49:F52">
    <cfRule type="expression" dxfId="135" priority="2">
      <formula>$F49="ancien paiement"</formula>
    </cfRule>
    <cfRule type="expression" dxfId="134" priority="3">
      <formula>$J49="ancien paiement"</formula>
    </cfRule>
  </conditionalFormatting>
  <conditionalFormatting sqref="E4:I6">
    <cfRule type="cellIs" dxfId="133" priority="12" stopIfTrue="1" operator="equal">
      <formula>"OK"</formula>
    </cfRule>
  </conditionalFormatting>
  <conditionalFormatting sqref="E50:L50">
    <cfRule type="cellIs" dxfId="132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3E40-145F-4D4C-83A1-BA2FBF3750B4}">
  <sheetPr>
    <pageSetUpPr fitToPage="1"/>
  </sheetPr>
  <dimension ref="A1:N117"/>
  <sheetViews>
    <sheetView topLeftCell="A8" workbookViewId="0">
      <selection activeCell="J2" sqref="J2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46138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/>
      <c r="I4" s="112" t="s">
        <v>3</v>
      </c>
      <c r="J4" s="113"/>
      <c r="K4" s="114">
        <f>E80+C14</f>
        <v>0</v>
      </c>
      <c r="L4" s="115"/>
      <c r="N4" s="6"/>
    </row>
    <row r="5" spans="2:14" ht="16.5" thickBot="1" x14ac:dyDescent="0.3">
      <c r="E5" s="7" t="s">
        <v>4</v>
      </c>
      <c r="F5" s="8"/>
      <c r="I5" s="95" t="s">
        <v>5</v>
      </c>
      <c r="J5" s="96"/>
      <c r="K5" s="97">
        <f>E15+E81</f>
        <v>0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0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/>
      <c r="D10" s="19"/>
      <c r="E10" s="49"/>
      <c r="F10" s="20" t="s">
        <v>9</v>
      </c>
      <c r="G10" s="21"/>
      <c r="H10" s="6"/>
      <c r="I10" s="137"/>
      <c r="J10" s="138"/>
      <c r="K10" s="139"/>
      <c r="L10" s="21"/>
    </row>
    <row r="11" spans="2:14" ht="21.6" customHeight="1" x14ac:dyDescent="0.25">
      <c r="B11" s="17" t="s">
        <v>453</v>
      </c>
      <c r="C11" s="18"/>
      <c r="D11" s="22"/>
      <c r="E11" s="50"/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/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/>
      <c r="D15" s="28" t="s">
        <v>11</v>
      </c>
      <c r="E15" s="29">
        <f>SUM(E10:E14)</f>
        <v>0</v>
      </c>
      <c r="F15" s="30" t="s">
        <v>11</v>
      </c>
      <c r="G15" s="31">
        <f>SUM(G10:G14)</f>
        <v>0</v>
      </c>
      <c r="H15" s="6"/>
      <c r="I15" s="116" t="s">
        <v>457</v>
      </c>
      <c r="J15" s="117"/>
      <c r="K15" s="118"/>
      <c r="L15" s="32">
        <f>C15-'25'!C15</f>
        <v>-241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241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117" s="1" customFormat="1" x14ac:dyDescent="0.25"/>
  </sheetData>
  <mergeCells count="145">
    <mergeCell ref="B56:D56"/>
    <mergeCell ref="F56:K56"/>
    <mergeCell ref="B82:D82"/>
    <mergeCell ref="B51:D51"/>
    <mergeCell ref="F51:K51"/>
    <mergeCell ref="B52:D52"/>
    <mergeCell ref="F52:K52"/>
    <mergeCell ref="B53:D53"/>
    <mergeCell ref="F53:K53"/>
    <mergeCell ref="B54:D54"/>
    <mergeCell ref="F54:K54"/>
    <mergeCell ref="B55:D55"/>
    <mergeCell ref="F55:K55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A18:L18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3:D73"/>
    <mergeCell ref="F73:K73"/>
    <mergeCell ref="B74:D74"/>
    <mergeCell ref="F74:K74"/>
    <mergeCell ref="B69:D69"/>
    <mergeCell ref="F69:K69"/>
    <mergeCell ref="B70:D70"/>
    <mergeCell ref="F70:K70"/>
    <mergeCell ref="B71:D71"/>
    <mergeCell ref="F71:K71"/>
    <mergeCell ref="B81:D81"/>
    <mergeCell ref="B78:D78"/>
    <mergeCell ref="F78:K78"/>
    <mergeCell ref="B80:D80"/>
    <mergeCell ref="B75:D75"/>
    <mergeCell ref="F75:K75"/>
    <mergeCell ref="B76:D76"/>
    <mergeCell ref="F76:K76"/>
    <mergeCell ref="B77:D77"/>
    <mergeCell ref="F77:K77"/>
  </mergeCells>
  <conditionalFormatting sqref="A18:A19">
    <cfRule type="cellIs" dxfId="131" priority="1" stopIfTrue="1" operator="equal">
      <formula>"OK"</formula>
    </cfRule>
  </conditionalFormatting>
  <conditionalFormatting sqref="A85:XFD1048576">
    <cfRule type="cellIs" dxfId="130" priority="13" stopIfTrue="1" operator="equal">
      <formula>"OK"</formula>
    </cfRule>
  </conditionalFormatting>
  <conditionalFormatting sqref="B49:B52 B20:H37">
    <cfRule type="expression" dxfId="129" priority="20">
      <formula>$J20="ancien paiement"</formula>
    </cfRule>
  </conditionalFormatting>
  <conditionalFormatting sqref="B60:B62 E60:F62 B67:D67 E67:F68 B68 B69:K69 B70 E70:F70 B71:K78">
    <cfRule type="expression" dxfId="128" priority="19">
      <formula>$F60="ancien paiement"</formula>
    </cfRule>
    <cfRule type="expression" dxfId="127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126" priority="22" stopIfTrue="1" operator="equal">
      <formula>"OK"</formula>
    </cfRule>
  </conditionalFormatting>
  <conditionalFormatting sqref="B9:I16">
    <cfRule type="cellIs" dxfId="125" priority="11" stopIfTrue="1" operator="equal">
      <formula>"OK"</formula>
    </cfRule>
  </conditionalFormatting>
  <conditionalFormatting sqref="B39:K39">
    <cfRule type="expression" dxfId="124" priority="18">
      <formula>$J39="ancien paiement"</formula>
    </cfRule>
  </conditionalFormatting>
  <conditionalFormatting sqref="B39:K48 B49:B52">
    <cfRule type="expression" dxfId="123" priority="5">
      <formula>$F39="ancien paiement"</formula>
    </cfRule>
  </conditionalFormatting>
  <conditionalFormatting sqref="B41:K48">
    <cfRule type="expression" dxfId="122" priority="6">
      <formula>$J41="ancien paiement"</formula>
    </cfRule>
  </conditionalFormatting>
  <conditionalFormatting sqref="B54:K59">
    <cfRule type="expression" dxfId="121" priority="7">
      <formula>$F54="ancien paiement"</formula>
    </cfRule>
    <cfRule type="expression" dxfId="120" priority="8">
      <formula>$J54="ancien paiement"</formula>
    </cfRule>
  </conditionalFormatting>
  <conditionalFormatting sqref="B63:K64">
    <cfRule type="expression" dxfId="119" priority="16">
      <formula>$F63="ancien paiement"</formula>
    </cfRule>
    <cfRule type="expression" dxfId="118" priority="17">
      <formula>$J63="ancien paiement"</formula>
    </cfRule>
  </conditionalFormatting>
  <conditionalFormatting sqref="B66:K66">
    <cfRule type="expression" dxfId="117" priority="14">
      <formula>$F66="ancien paiement"</formula>
    </cfRule>
    <cfRule type="expression" dxfId="116" priority="15">
      <formula>$J66="ancien paiement"</formula>
    </cfRule>
  </conditionalFormatting>
  <conditionalFormatting sqref="B51:L57 B48:L49 B50:D50">
    <cfRule type="cellIs" dxfId="115" priority="9" stopIfTrue="1" operator="equal">
      <formula>"OK"</formula>
    </cfRule>
  </conditionalFormatting>
  <conditionalFormatting sqref="E49">
    <cfRule type="expression" dxfId="114" priority="10">
      <formula>#REF!="ancien paiement"</formula>
    </cfRule>
  </conditionalFormatting>
  <conditionalFormatting sqref="E49:F52">
    <cfRule type="expression" dxfId="113" priority="2">
      <formula>$F49="ancien paiement"</formula>
    </cfRule>
    <cfRule type="expression" dxfId="112" priority="3">
      <formula>$J49="ancien paiement"</formula>
    </cfRule>
  </conditionalFormatting>
  <conditionalFormatting sqref="E4:I6">
    <cfRule type="cellIs" dxfId="111" priority="12" stopIfTrue="1" operator="equal">
      <formula>"OK"</formula>
    </cfRule>
  </conditionalFormatting>
  <conditionalFormatting sqref="E50:L50">
    <cfRule type="cellIs" dxfId="110" priority="4" stopIfTrue="1" operator="equal">
      <formula>"OK"</formula>
    </cfRule>
  </conditionalFormatting>
  <pageMargins left="0.7" right="0.7" top="0.75" bottom="0.75" header="0.3" footer="0.3"/>
  <pageSetup paperSize="9" scale="48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5C3C-9EE4-4329-86C2-71B97C095A49}">
  <sheetPr>
    <pageSetUpPr fitToPage="1"/>
  </sheetPr>
  <dimension ref="A1:N101"/>
  <sheetViews>
    <sheetView topLeftCell="A38" workbookViewId="0">
      <selection activeCell="L15" sqref="L15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4.85546875" style="1" customWidth="1"/>
    <col min="13" max="16384" width="11.42578125" style="1"/>
  </cols>
  <sheetData>
    <row r="1" spans="2:14" x14ac:dyDescent="0.25">
      <c r="I1" s="2" t="s">
        <v>0</v>
      </c>
      <c r="J1" s="105">
        <v>46139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1507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7840</v>
      </c>
      <c r="G4" s="1" t="s">
        <v>1506</v>
      </c>
      <c r="I4" s="112" t="s">
        <v>3</v>
      </c>
      <c r="J4" s="113"/>
      <c r="K4" s="114">
        <f>E94+C14</f>
        <v>7841.56</v>
      </c>
      <c r="L4" s="115"/>
      <c r="N4" s="6"/>
    </row>
    <row r="5" spans="2:14" ht="16.5" thickBot="1" x14ac:dyDescent="0.3">
      <c r="E5" s="7" t="s">
        <v>4</v>
      </c>
      <c r="F5" s="8">
        <v>5694.5</v>
      </c>
      <c r="G5" s="1" t="s">
        <v>1508</v>
      </c>
      <c r="I5" s="95" t="s">
        <v>5</v>
      </c>
      <c r="J5" s="96"/>
      <c r="K5" s="97">
        <f>E15+E95</f>
        <v>5694.5</v>
      </c>
      <c r="L5" s="98"/>
      <c r="N5" s="6"/>
    </row>
    <row r="6" spans="2:14" ht="16.5" thickBot="1" x14ac:dyDescent="0.3">
      <c r="E6" s="9" t="s">
        <v>445</v>
      </c>
      <c r="F6" s="10">
        <v>1.56</v>
      </c>
      <c r="I6" s="95" t="s">
        <v>446</v>
      </c>
      <c r="J6" s="96"/>
      <c r="K6" s="97">
        <f>G15+E96</f>
        <v>23461.530000000002</v>
      </c>
      <c r="L6" s="98"/>
    </row>
    <row r="7" spans="2:14" ht="16.5" thickBot="1" x14ac:dyDescent="0.3">
      <c r="I7" s="99" t="s">
        <v>6</v>
      </c>
      <c r="J7" s="100"/>
      <c r="K7" s="101">
        <f>SUM(E65:E70)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2550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1520</v>
      </c>
      <c r="D10" s="19" t="s">
        <v>1146</v>
      </c>
      <c r="E10" s="49">
        <v>832.8</v>
      </c>
      <c r="F10" s="20" t="s">
        <v>9</v>
      </c>
      <c r="G10" s="21">
        <v>19873.580000000002</v>
      </c>
      <c r="H10" s="6"/>
      <c r="I10" s="137" t="s">
        <v>1500</v>
      </c>
      <c r="J10" s="138"/>
      <c r="K10" s="139"/>
      <c r="L10" s="21">
        <v>100</v>
      </c>
    </row>
    <row r="11" spans="2:14" ht="21.6" customHeight="1" x14ac:dyDescent="0.25">
      <c r="B11" s="17" t="s">
        <v>453</v>
      </c>
      <c r="C11" s="18">
        <v>3620</v>
      </c>
      <c r="D11" s="22" t="s">
        <v>1221</v>
      </c>
      <c r="E11" s="50">
        <v>814.09</v>
      </c>
      <c r="F11" s="23" t="s">
        <v>454</v>
      </c>
      <c r="G11" s="24"/>
      <c r="H11" s="6"/>
      <c r="I11" s="140" t="s">
        <v>1510</v>
      </c>
      <c r="J11" s="141"/>
      <c r="K11" s="142"/>
      <c r="L11" s="21">
        <v>200</v>
      </c>
    </row>
    <row r="12" spans="2:14" ht="21.6" customHeight="1" x14ac:dyDescent="0.25">
      <c r="B12" s="17" t="s">
        <v>455</v>
      </c>
      <c r="C12" s="18">
        <v>90</v>
      </c>
      <c r="D12" s="22" t="s">
        <v>1147</v>
      </c>
      <c r="E12" s="50">
        <v>435.88</v>
      </c>
      <c r="F12" s="23"/>
      <c r="G12" s="24"/>
      <c r="H12" s="6"/>
      <c r="I12" s="140" t="s">
        <v>1509</v>
      </c>
      <c r="J12" s="141"/>
      <c r="K12" s="142"/>
      <c r="L12" s="24">
        <v>80</v>
      </c>
    </row>
    <row r="13" spans="2:14" ht="23.1" customHeight="1" x14ac:dyDescent="0.25">
      <c r="B13" s="17" t="s">
        <v>10</v>
      </c>
      <c r="C13" s="18"/>
      <c r="D13" s="22" t="s">
        <v>1505</v>
      </c>
      <c r="E13" s="50">
        <v>377.09</v>
      </c>
      <c r="F13" s="23"/>
      <c r="G13" s="24"/>
      <c r="H13" s="6"/>
      <c r="I13" s="140" t="s">
        <v>1227</v>
      </c>
      <c r="J13" s="141"/>
      <c r="K13" s="142"/>
      <c r="L13" s="24">
        <v>100</v>
      </c>
    </row>
    <row r="14" spans="2:14" ht="23.85" customHeight="1" x14ac:dyDescent="0.25">
      <c r="B14" s="25" t="s">
        <v>11</v>
      </c>
      <c r="C14" s="18">
        <f>SUM(C9:C13)</f>
        <v>7780</v>
      </c>
      <c r="D14" s="22"/>
      <c r="E14" s="50"/>
      <c r="F14" s="23"/>
      <c r="G14" s="24"/>
      <c r="H14" s="6"/>
      <c r="I14" s="140" t="s">
        <v>1511</v>
      </c>
      <c r="J14" s="141"/>
      <c r="K14" s="142"/>
      <c r="L14" s="24">
        <v>50</v>
      </c>
    </row>
    <row r="15" spans="2:14" ht="24.6" customHeight="1" thickBot="1" x14ac:dyDescent="0.3">
      <c r="B15" s="26" t="s">
        <v>456</v>
      </c>
      <c r="C15" s="27">
        <v>680</v>
      </c>
      <c r="D15" s="28" t="s">
        <v>11</v>
      </c>
      <c r="E15" s="29">
        <f>SUM(E10:E14)</f>
        <v>2459.86</v>
      </c>
      <c r="F15" s="30" t="s">
        <v>11</v>
      </c>
      <c r="G15" s="31">
        <f>SUM(G10:G14)</f>
        <v>19873.580000000002</v>
      </c>
      <c r="H15" s="6"/>
      <c r="I15" s="116" t="s">
        <v>457</v>
      </c>
      <c r="J15" s="117"/>
      <c r="K15" s="118"/>
      <c r="L15" s="32">
        <f>C15-'26'!C15</f>
        <v>680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-1210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185</v>
      </c>
      <c r="B20" s="128" t="s">
        <v>1477</v>
      </c>
      <c r="C20" s="129"/>
      <c r="D20" s="130"/>
      <c r="E20" s="20">
        <v>307.76</v>
      </c>
      <c r="F20" s="12" t="s">
        <v>44</v>
      </c>
      <c r="G20" s="51">
        <v>6745842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335</v>
      </c>
      <c r="B21" s="143" t="s">
        <v>1478</v>
      </c>
      <c r="C21" s="144"/>
      <c r="D21" s="145"/>
      <c r="E21" s="20">
        <v>437.56</v>
      </c>
      <c r="F21" s="23" t="s">
        <v>46</v>
      </c>
      <c r="G21" s="52">
        <v>3910451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982</v>
      </c>
      <c r="B22" s="143" t="s">
        <v>1479</v>
      </c>
      <c r="C22" s="144"/>
      <c r="D22" s="145"/>
      <c r="E22" s="20">
        <v>709.16</v>
      </c>
      <c r="F22" s="23" t="s">
        <v>46</v>
      </c>
      <c r="G22" s="52">
        <v>3885378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90</v>
      </c>
      <c r="B23" s="143" t="s">
        <v>1140</v>
      </c>
      <c r="C23" s="144"/>
      <c r="D23" s="145"/>
      <c r="E23" s="20">
        <v>413.19</v>
      </c>
      <c r="F23" s="23" t="s">
        <v>75</v>
      </c>
      <c r="G23" s="52">
        <v>305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322</v>
      </c>
      <c r="B24" s="143" t="s">
        <v>1485</v>
      </c>
      <c r="C24" s="144"/>
      <c r="D24" s="145"/>
      <c r="E24" s="20">
        <v>381.27</v>
      </c>
      <c r="F24" s="23" t="s">
        <v>44</v>
      </c>
      <c r="G24" s="52">
        <v>2232940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154</v>
      </c>
      <c r="B25" s="143" t="s">
        <v>1145</v>
      </c>
      <c r="C25" s="144"/>
      <c r="D25" s="145"/>
      <c r="E25" s="20">
        <v>501.22</v>
      </c>
      <c r="F25" s="23" t="s">
        <v>75</v>
      </c>
      <c r="G25" s="52">
        <v>79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201</v>
      </c>
      <c r="B26" s="143" t="s">
        <v>1182</v>
      </c>
      <c r="C26" s="144"/>
      <c r="D26" s="145"/>
      <c r="E26" s="20">
        <v>213.34</v>
      </c>
      <c r="F26" s="23" t="s">
        <v>44</v>
      </c>
      <c r="G26" s="52">
        <v>2722689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1494</v>
      </c>
      <c r="B27" s="143" t="s">
        <v>1493</v>
      </c>
      <c r="C27" s="144"/>
      <c r="D27" s="145"/>
      <c r="E27" s="20">
        <v>271.14</v>
      </c>
      <c r="F27" s="23" t="s">
        <v>56</v>
      </c>
      <c r="G27" s="52">
        <v>6127552</v>
      </c>
      <c r="H27" s="146"/>
      <c r="I27" s="147"/>
      <c r="J27" s="147"/>
      <c r="K27" s="148"/>
      <c r="L27" s="23" t="s">
        <v>33</v>
      </c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 t="s">
        <v>1497</v>
      </c>
      <c r="C39" s="129"/>
      <c r="D39" s="162"/>
      <c r="E39" s="41">
        <v>50</v>
      </c>
      <c r="F39" s="163" t="s">
        <v>1498</v>
      </c>
      <c r="G39" s="164"/>
      <c r="H39" s="164"/>
      <c r="I39" s="164"/>
      <c r="J39" s="164"/>
      <c r="K39" s="165"/>
      <c r="L39" s="42"/>
    </row>
    <row r="40" spans="1:12" x14ac:dyDescent="0.25">
      <c r="A40" s="66"/>
      <c r="B40" s="143" t="s">
        <v>1499</v>
      </c>
      <c r="C40" s="144"/>
      <c r="D40" s="158"/>
      <c r="E40" s="43">
        <v>11.56</v>
      </c>
      <c r="F40" s="159" t="s">
        <v>1504</v>
      </c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132</v>
      </c>
      <c r="B49" s="143" t="s">
        <v>1317</v>
      </c>
      <c r="C49" s="144"/>
      <c r="D49" s="158"/>
      <c r="E49" s="43">
        <v>367.75</v>
      </c>
      <c r="F49" s="159"/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 t="s">
        <v>132</v>
      </c>
      <c r="B50" s="74"/>
      <c r="C50" s="75" t="s">
        <v>1317</v>
      </c>
      <c r="D50" s="76"/>
      <c r="E50" s="43">
        <v>673.55</v>
      </c>
      <c r="F50" s="77"/>
      <c r="G50" s="78"/>
      <c r="H50" s="78"/>
      <c r="I50" s="78"/>
      <c r="J50" s="78"/>
      <c r="K50" s="79"/>
      <c r="L50" s="20" t="s">
        <v>71</v>
      </c>
    </row>
    <row r="51" spans="1:12" x14ac:dyDescent="0.25">
      <c r="A51" s="66" t="s">
        <v>1501</v>
      </c>
      <c r="B51" s="74"/>
      <c r="C51" s="75" t="s">
        <v>1252</v>
      </c>
      <c r="D51" s="76"/>
      <c r="E51" s="43">
        <v>180.84</v>
      </c>
      <c r="F51" s="77"/>
      <c r="G51" s="78"/>
      <c r="H51" s="78"/>
      <c r="I51" s="78"/>
      <c r="J51" s="78"/>
      <c r="K51" s="79"/>
      <c r="L51" s="20" t="s">
        <v>71</v>
      </c>
    </row>
    <row r="52" spans="1:12" x14ac:dyDescent="0.25">
      <c r="A52" s="66" t="s">
        <v>1501</v>
      </c>
      <c r="B52" s="74"/>
      <c r="C52" s="75" t="s">
        <v>1252</v>
      </c>
      <c r="D52" s="76"/>
      <c r="E52" s="43">
        <v>282.70999999999998</v>
      </c>
      <c r="F52" s="77"/>
      <c r="G52" s="78"/>
      <c r="H52" s="78"/>
      <c r="I52" s="78"/>
      <c r="J52" s="78"/>
      <c r="K52" s="79"/>
      <c r="L52" s="20" t="s">
        <v>71</v>
      </c>
    </row>
    <row r="53" spans="1:12" x14ac:dyDescent="0.25">
      <c r="A53" s="66" t="s">
        <v>1501</v>
      </c>
      <c r="B53" s="74"/>
      <c r="C53" s="75" t="s">
        <v>1252</v>
      </c>
      <c r="D53" s="76"/>
      <c r="E53" s="43">
        <v>215.28</v>
      </c>
      <c r="F53" s="77"/>
      <c r="G53" s="78"/>
      <c r="H53" s="78"/>
      <c r="I53" s="78"/>
      <c r="J53" s="78"/>
      <c r="K53" s="79"/>
      <c r="L53" s="20" t="s">
        <v>71</v>
      </c>
    </row>
    <row r="54" spans="1:12" x14ac:dyDescent="0.25">
      <c r="A54" s="66" t="s">
        <v>1502</v>
      </c>
      <c r="B54" s="74"/>
      <c r="C54" s="75" t="s">
        <v>1453</v>
      </c>
      <c r="D54" s="76"/>
      <c r="E54" s="43">
        <v>918.29</v>
      </c>
      <c r="F54" s="77"/>
      <c r="G54" s="78"/>
      <c r="H54" s="78"/>
      <c r="I54" s="78"/>
      <c r="J54" s="78"/>
      <c r="K54" s="79"/>
      <c r="L54" s="20" t="s">
        <v>71</v>
      </c>
    </row>
    <row r="55" spans="1:12" x14ac:dyDescent="0.25">
      <c r="A55" s="66" t="s">
        <v>1503</v>
      </c>
      <c r="B55" s="74"/>
      <c r="C55" s="75" t="s">
        <v>1455</v>
      </c>
      <c r="D55" s="76"/>
      <c r="E55" s="43">
        <v>540.75</v>
      </c>
      <c r="F55" s="77"/>
      <c r="G55" s="78"/>
      <c r="H55" s="78"/>
      <c r="I55" s="78"/>
      <c r="J55" s="78"/>
      <c r="K55" s="79"/>
      <c r="L55" s="20" t="s">
        <v>71</v>
      </c>
    </row>
    <row r="56" spans="1:12" x14ac:dyDescent="0.25">
      <c r="A56" s="66" t="s">
        <v>998</v>
      </c>
      <c r="B56" s="143" t="s">
        <v>1484</v>
      </c>
      <c r="C56" s="144"/>
      <c r="D56" s="158"/>
      <c r="E56" s="43">
        <v>408.78</v>
      </c>
      <c r="F56" s="159"/>
      <c r="G56" s="160"/>
      <c r="H56" s="160"/>
      <c r="I56" s="160"/>
      <c r="J56" s="160"/>
      <c r="K56" s="161"/>
      <c r="L56" s="20" t="s">
        <v>71</v>
      </c>
    </row>
    <row r="57" spans="1:12" x14ac:dyDescent="0.25">
      <c r="A57" s="66"/>
      <c r="B57" s="143"/>
      <c r="C57" s="144"/>
      <c r="D57" s="158"/>
      <c r="E57" s="43"/>
      <c r="F57" s="159"/>
      <c r="G57" s="160"/>
      <c r="H57" s="160"/>
      <c r="I57" s="160"/>
      <c r="J57" s="160"/>
      <c r="K57" s="161"/>
      <c r="L57" s="20"/>
    </row>
    <row r="58" spans="1:12" ht="16.5" thickBot="1" x14ac:dyDescent="0.3">
      <c r="A58" s="66"/>
      <c r="B58" s="143"/>
      <c r="C58" s="144"/>
      <c r="D58" s="158"/>
      <c r="E58" s="43"/>
      <c r="F58" s="159"/>
      <c r="G58" s="160"/>
      <c r="H58" s="160"/>
      <c r="I58" s="160"/>
      <c r="J58" s="160"/>
      <c r="K58" s="161"/>
      <c r="L58" s="20"/>
    </row>
    <row r="59" spans="1:12" ht="16.5" thickBot="1" x14ac:dyDescent="0.3">
      <c r="A59" s="71" t="s">
        <v>458</v>
      </c>
      <c r="B59" s="166" t="s">
        <v>462</v>
      </c>
      <c r="C59" s="167"/>
      <c r="D59" s="168"/>
      <c r="E59" s="36" t="s">
        <v>8</v>
      </c>
      <c r="F59" s="119" t="s">
        <v>15</v>
      </c>
      <c r="G59" s="120"/>
      <c r="H59" s="120"/>
      <c r="I59" s="120"/>
      <c r="J59" s="120"/>
      <c r="K59" s="121"/>
      <c r="L59" s="39" t="s">
        <v>16</v>
      </c>
    </row>
    <row r="60" spans="1:12" x14ac:dyDescent="0.25">
      <c r="A60" s="66"/>
      <c r="B60" s="143"/>
      <c r="C60" s="144">
        <v>802.36</v>
      </c>
      <c r="D60" s="158" t="s">
        <v>18</v>
      </c>
      <c r="E60" s="43"/>
      <c r="F60" s="163"/>
      <c r="G60" s="164"/>
      <c r="H60" s="164"/>
      <c r="I60" s="164"/>
      <c r="J60" s="164"/>
      <c r="K60" s="165"/>
      <c r="L60" s="20"/>
    </row>
    <row r="61" spans="1:12" x14ac:dyDescent="0.25">
      <c r="A61" s="66"/>
      <c r="B61" s="143"/>
      <c r="C61" s="144">
        <v>675.28</v>
      </c>
      <c r="D61" s="158" t="s">
        <v>19</v>
      </c>
      <c r="E61" s="43"/>
      <c r="F61" s="159"/>
      <c r="G61" s="160"/>
      <c r="H61" s="160"/>
      <c r="I61" s="160"/>
      <c r="J61" s="160"/>
      <c r="K61" s="161"/>
      <c r="L61" s="23"/>
    </row>
    <row r="62" spans="1:12" x14ac:dyDescent="0.25">
      <c r="A62" s="66"/>
      <c r="B62" s="143"/>
      <c r="C62" s="144">
        <v>689.72</v>
      </c>
      <c r="D62" s="158" t="s">
        <v>19</v>
      </c>
      <c r="E62" s="43"/>
      <c r="F62" s="159"/>
      <c r="G62" s="160"/>
      <c r="H62" s="160"/>
      <c r="I62" s="160"/>
      <c r="J62" s="160"/>
      <c r="K62" s="161"/>
      <c r="L62" s="23"/>
    </row>
    <row r="63" spans="1:12" ht="16.5" thickBot="1" x14ac:dyDescent="0.3">
      <c r="A63" s="66"/>
      <c r="B63" s="143"/>
      <c r="C63" s="144">
        <v>340.26</v>
      </c>
      <c r="D63" s="158" t="s">
        <v>20</v>
      </c>
      <c r="E63" s="43"/>
      <c r="F63" s="159"/>
      <c r="G63" s="160"/>
      <c r="H63" s="160"/>
      <c r="I63" s="160"/>
      <c r="J63" s="160"/>
      <c r="K63" s="161"/>
      <c r="L63" s="23"/>
    </row>
    <row r="64" spans="1:12" ht="16.5" thickBot="1" x14ac:dyDescent="0.3">
      <c r="A64" s="71" t="s">
        <v>458</v>
      </c>
      <c r="B64" s="166" t="s">
        <v>17</v>
      </c>
      <c r="C64" s="167"/>
      <c r="D64" s="168"/>
      <c r="E64" s="36" t="s">
        <v>8</v>
      </c>
      <c r="F64" s="119" t="s">
        <v>15</v>
      </c>
      <c r="G64" s="120"/>
      <c r="H64" s="120"/>
      <c r="I64" s="120"/>
      <c r="J64" s="120"/>
      <c r="K64" s="121"/>
      <c r="L64" s="39" t="s">
        <v>16</v>
      </c>
    </row>
    <row r="65" spans="1:12" x14ac:dyDescent="0.25">
      <c r="A65" s="66"/>
      <c r="B65" s="128"/>
      <c r="C65" s="129"/>
      <c r="D65" s="162"/>
      <c r="E65" s="43"/>
      <c r="F65" s="163"/>
      <c r="G65" s="164"/>
      <c r="H65" s="164"/>
      <c r="I65" s="164"/>
      <c r="J65" s="164"/>
      <c r="K65" s="165"/>
      <c r="L65" s="23"/>
    </row>
    <row r="66" spans="1:12" x14ac:dyDescent="0.25">
      <c r="A66" s="66"/>
      <c r="B66" s="143"/>
      <c r="C66" s="144"/>
      <c r="D66" s="158"/>
      <c r="E66" s="43"/>
      <c r="F66" s="159"/>
      <c r="G66" s="160"/>
      <c r="H66" s="160"/>
      <c r="I66" s="160"/>
      <c r="J66" s="160"/>
      <c r="K66" s="161"/>
      <c r="L66" s="44"/>
    </row>
    <row r="67" spans="1:12" x14ac:dyDescent="0.25">
      <c r="A67" s="66"/>
      <c r="B67" s="143"/>
      <c r="C67" s="144"/>
      <c r="D67" s="158"/>
      <c r="E67" s="43"/>
      <c r="F67" s="159"/>
      <c r="G67" s="160"/>
      <c r="H67" s="160"/>
      <c r="I67" s="160"/>
      <c r="J67" s="160"/>
      <c r="K67" s="161"/>
      <c r="L67" s="44"/>
    </row>
    <row r="68" spans="1:12" x14ac:dyDescent="0.25">
      <c r="A68" s="66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44"/>
    </row>
    <row r="69" spans="1:12" x14ac:dyDescent="0.25">
      <c r="A69" s="66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44"/>
    </row>
    <row r="70" spans="1:12" ht="16.5" thickBot="1" x14ac:dyDescent="0.3">
      <c r="A70" s="67"/>
      <c r="B70" s="149"/>
      <c r="C70" s="150"/>
      <c r="D70" s="169"/>
      <c r="E70" s="43"/>
      <c r="F70" s="170"/>
      <c r="G70" s="171"/>
      <c r="H70" s="171"/>
      <c r="I70" s="171"/>
      <c r="J70" s="171"/>
      <c r="K70" s="172"/>
      <c r="L70" s="29"/>
    </row>
    <row r="71" spans="1:12" ht="16.5" thickBot="1" x14ac:dyDescent="0.3">
      <c r="A71" s="70" t="s">
        <v>458</v>
      </c>
      <c r="B71" s="173" t="s">
        <v>463</v>
      </c>
      <c r="C71" s="174"/>
      <c r="D71" s="175"/>
      <c r="E71" s="36" t="s">
        <v>8</v>
      </c>
      <c r="F71" s="119" t="s">
        <v>15</v>
      </c>
      <c r="G71" s="120"/>
      <c r="H71" s="120"/>
      <c r="I71" s="120"/>
      <c r="J71" s="120"/>
      <c r="K71" s="121"/>
      <c r="L71" s="39" t="s">
        <v>16</v>
      </c>
    </row>
    <row r="72" spans="1:12" ht="16.5" thickBot="1" x14ac:dyDescent="0.3">
      <c r="A72" s="17" t="s">
        <v>42</v>
      </c>
      <c r="B72" s="128" t="s">
        <v>1198</v>
      </c>
      <c r="C72" s="129"/>
      <c r="D72" s="162"/>
      <c r="E72" s="43">
        <v>407.37</v>
      </c>
      <c r="F72" s="163"/>
      <c r="G72" s="164"/>
      <c r="H72" s="164"/>
      <c r="I72" s="164"/>
      <c r="J72" s="164"/>
      <c r="K72" s="165"/>
      <c r="L72" s="23" t="s">
        <v>33</v>
      </c>
    </row>
    <row r="73" spans="1:12" x14ac:dyDescent="0.25">
      <c r="A73" s="17" t="s">
        <v>263</v>
      </c>
      <c r="B73" s="128" t="s">
        <v>1199</v>
      </c>
      <c r="C73" s="129"/>
      <c r="D73" s="162"/>
      <c r="E73" s="43">
        <v>785.04</v>
      </c>
      <c r="F73" s="159"/>
      <c r="G73" s="160"/>
      <c r="H73" s="160"/>
      <c r="I73" s="160"/>
      <c r="J73" s="160"/>
      <c r="K73" s="161"/>
      <c r="L73" s="23" t="s">
        <v>71</v>
      </c>
    </row>
    <row r="74" spans="1:12" x14ac:dyDescent="0.25">
      <c r="A74" s="17" t="s">
        <v>1481</v>
      </c>
      <c r="B74" s="143" t="s">
        <v>1480</v>
      </c>
      <c r="C74" s="144"/>
      <c r="D74" s="158"/>
      <c r="E74" s="43">
        <v>782.24</v>
      </c>
      <c r="F74" s="159"/>
      <c r="G74" s="160"/>
      <c r="H74" s="160"/>
      <c r="I74" s="160"/>
      <c r="J74" s="160"/>
      <c r="K74" s="161"/>
      <c r="L74" s="23" t="s">
        <v>71</v>
      </c>
    </row>
    <row r="75" spans="1:12" x14ac:dyDescent="0.25">
      <c r="A75" s="17" t="s">
        <v>1483</v>
      </c>
      <c r="B75" s="143" t="s">
        <v>1482</v>
      </c>
      <c r="C75" s="144"/>
      <c r="D75" s="158"/>
      <c r="E75" s="43">
        <v>437.5</v>
      </c>
      <c r="F75" s="159"/>
      <c r="G75" s="160"/>
      <c r="H75" s="160"/>
      <c r="I75" s="160"/>
      <c r="J75" s="160"/>
      <c r="K75" s="161"/>
      <c r="L75" s="23" t="s">
        <v>33</v>
      </c>
    </row>
    <row r="76" spans="1:12" x14ac:dyDescent="0.25">
      <c r="A76" s="17" t="s">
        <v>976</v>
      </c>
      <c r="B76" s="143" t="s">
        <v>1484</v>
      </c>
      <c r="C76" s="144"/>
      <c r="D76" s="158"/>
      <c r="E76" s="43">
        <v>408.78</v>
      </c>
      <c r="F76" s="159"/>
      <c r="G76" s="160"/>
      <c r="H76" s="160"/>
      <c r="I76" s="160"/>
      <c r="J76" s="160"/>
      <c r="K76" s="161"/>
      <c r="L76" s="23" t="s">
        <v>33</v>
      </c>
    </row>
    <row r="77" spans="1:12" x14ac:dyDescent="0.25">
      <c r="A77" s="17" t="s">
        <v>1487</v>
      </c>
      <c r="B77" s="74"/>
      <c r="C77" s="75" t="s">
        <v>1486</v>
      </c>
      <c r="D77" s="76"/>
      <c r="E77" s="43">
        <v>531.96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196</v>
      </c>
      <c r="B78" s="74"/>
      <c r="C78" s="75" t="s">
        <v>1179</v>
      </c>
      <c r="D78" s="76"/>
      <c r="E78" s="43">
        <v>2603.15</v>
      </c>
      <c r="F78" s="77"/>
      <c r="G78" s="78"/>
      <c r="H78" s="78"/>
      <c r="I78" s="78"/>
      <c r="J78" s="78"/>
      <c r="K78" s="79"/>
      <c r="L78" s="23" t="s">
        <v>33</v>
      </c>
    </row>
    <row r="79" spans="1:12" x14ac:dyDescent="0.25">
      <c r="A79" s="17" t="s">
        <v>282</v>
      </c>
      <c r="B79" s="74"/>
      <c r="C79" s="75" t="s">
        <v>1178</v>
      </c>
      <c r="D79" s="76"/>
      <c r="E79" s="43">
        <v>316.44</v>
      </c>
      <c r="F79" s="77"/>
      <c r="G79" s="78"/>
      <c r="H79" s="78"/>
      <c r="I79" s="78"/>
      <c r="J79" s="78"/>
      <c r="K79" s="79"/>
      <c r="L79" s="23" t="s">
        <v>33</v>
      </c>
    </row>
    <row r="80" spans="1:12" x14ac:dyDescent="0.25">
      <c r="A80" s="17" t="s">
        <v>1489</v>
      </c>
      <c r="B80" s="74"/>
      <c r="C80" s="75" t="s">
        <v>1488</v>
      </c>
      <c r="D80" s="76"/>
      <c r="E80" s="43">
        <v>675.53</v>
      </c>
      <c r="F80" s="77"/>
      <c r="G80" s="78"/>
      <c r="H80" s="78"/>
      <c r="I80" s="78"/>
      <c r="J80" s="78"/>
      <c r="K80" s="79"/>
      <c r="L80" s="23" t="s">
        <v>33</v>
      </c>
    </row>
    <row r="81" spans="1:12" x14ac:dyDescent="0.25">
      <c r="A81" s="17" t="s">
        <v>189</v>
      </c>
      <c r="B81" s="74"/>
      <c r="C81" s="75" t="s">
        <v>1490</v>
      </c>
      <c r="D81" s="76"/>
      <c r="E81" s="43">
        <v>660.19</v>
      </c>
      <c r="F81" s="77"/>
      <c r="G81" s="78"/>
      <c r="H81" s="78"/>
      <c r="I81" s="78"/>
      <c r="J81" s="78"/>
      <c r="K81" s="79"/>
      <c r="L81" s="23" t="s">
        <v>33</v>
      </c>
    </row>
    <row r="82" spans="1:12" x14ac:dyDescent="0.25">
      <c r="A82" s="17" t="s">
        <v>1492</v>
      </c>
      <c r="B82" s="74"/>
      <c r="C82" s="75" t="s">
        <v>1491</v>
      </c>
      <c r="D82" s="76"/>
      <c r="E82" s="43">
        <v>311.97000000000003</v>
      </c>
      <c r="F82" s="77"/>
      <c r="G82" s="78"/>
      <c r="H82" s="78"/>
      <c r="I82" s="78"/>
      <c r="J82" s="78"/>
      <c r="K82" s="79"/>
      <c r="L82" s="23" t="s">
        <v>33</v>
      </c>
    </row>
    <row r="83" spans="1:12" x14ac:dyDescent="0.25">
      <c r="A83" s="17" t="s">
        <v>196</v>
      </c>
      <c r="B83" s="74"/>
      <c r="C83" s="75" t="s">
        <v>1179</v>
      </c>
      <c r="D83" s="76"/>
      <c r="E83" s="43">
        <v>1912.67</v>
      </c>
      <c r="F83" s="77"/>
      <c r="G83" s="78"/>
      <c r="H83" s="78"/>
      <c r="I83" s="78"/>
      <c r="J83" s="78"/>
      <c r="K83" s="79"/>
      <c r="L83" s="23" t="s">
        <v>33</v>
      </c>
    </row>
    <row r="84" spans="1:12" x14ac:dyDescent="0.25">
      <c r="A84" s="17" t="s">
        <v>1175</v>
      </c>
      <c r="B84" s="74"/>
      <c r="C84" s="75" t="s">
        <v>435</v>
      </c>
      <c r="D84" s="76"/>
      <c r="E84" s="43">
        <v>388.42</v>
      </c>
      <c r="F84" s="77"/>
      <c r="G84" s="78"/>
      <c r="H84" s="78"/>
      <c r="I84" s="78"/>
      <c r="J84" s="78"/>
      <c r="K84" s="79"/>
      <c r="L84" s="23" t="s">
        <v>33</v>
      </c>
    </row>
    <row r="85" spans="1:12" x14ac:dyDescent="0.25">
      <c r="A85" s="17" t="s">
        <v>64</v>
      </c>
      <c r="B85" s="143" t="s">
        <v>1340</v>
      </c>
      <c r="C85" s="144"/>
      <c r="D85" s="158"/>
      <c r="E85" s="43">
        <v>586.94000000000005</v>
      </c>
      <c r="F85" s="159"/>
      <c r="G85" s="160"/>
      <c r="H85" s="160"/>
      <c r="I85" s="160"/>
      <c r="J85" s="160"/>
      <c r="K85" s="161"/>
      <c r="L85" s="23" t="s">
        <v>33</v>
      </c>
    </row>
    <row r="86" spans="1:12" x14ac:dyDescent="0.25">
      <c r="A86" s="17" t="s">
        <v>1496</v>
      </c>
      <c r="B86" s="143" t="s">
        <v>1495</v>
      </c>
      <c r="C86" s="144"/>
      <c r="D86" s="158"/>
      <c r="E86" s="43">
        <v>28801.5</v>
      </c>
      <c r="F86" s="159"/>
      <c r="G86" s="160"/>
      <c r="H86" s="160"/>
      <c r="I86" s="160"/>
      <c r="J86" s="160"/>
      <c r="K86" s="161"/>
      <c r="L86" s="23" t="s">
        <v>71</v>
      </c>
    </row>
    <row r="87" spans="1:12" x14ac:dyDescent="0.25">
      <c r="A87" s="17" t="s">
        <v>375</v>
      </c>
      <c r="B87" s="143" t="s">
        <v>1136</v>
      </c>
      <c r="C87" s="144"/>
      <c r="D87" s="158"/>
      <c r="E87" s="43">
        <v>413.47</v>
      </c>
      <c r="F87" s="159"/>
      <c r="G87" s="160"/>
      <c r="H87" s="160"/>
      <c r="I87" s="160"/>
      <c r="J87" s="160"/>
      <c r="K87" s="161"/>
      <c r="L87" s="23" t="s">
        <v>71</v>
      </c>
    </row>
    <row r="88" spans="1:12" x14ac:dyDescent="0.25">
      <c r="A88" s="17" t="s">
        <v>417</v>
      </c>
      <c r="B88" s="143" t="s">
        <v>203</v>
      </c>
      <c r="C88" s="144"/>
      <c r="D88" s="158"/>
      <c r="E88" s="43">
        <v>1416.46</v>
      </c>
      <c r="F88" s="159"/>
      <c r="G88" s="160"/>
      <c r="H88" s="160"/>
      <c r="I88" s="160"/>
      <c r="J88" s="160"/>
      <c r="K88" s="161"/>
      <c r="L88" s="23"/>
    </row>
    <row r="89" spans="1:12" x14ac:dyDescent="0.25">
      <c r="A89" s="17"/>
      <c r="B89" s="143"/>
      <c r="C89" s="144"/>
      <c r="D89" s="158"/>
      <c r="E89" s="43"/>
      <c r="F89" s="159"/>
      <c r="G89" s="160"/>
      <c r="H89" s="160"/>
      <c r="I89" s="160"/>
      <c r="J89" s="160"/>
      <c r="K89" s="161"/>
      <c r="L89" s="17"/>
    </row>
    <row r="90" spans="1:12" x14ac:dyDescent="0.25">
      <c r="A90" s="17"/>
      <c r="B90" s="143"/>
      <c r="C90" s="144"/>
      <c r="D90" s="158"/>
      <c r="E90" s="43"/>
      <c r="F90" s="159"/>
      <c r="G90" s="160"/>
      <c r="H90" s="160"/>
      <c r="I90" s="160"/>
      <c r="J90" s="160"/>
      <c r="K90" s="161"/>
      <c r="L90" s="17"/>
    </row>
    <row r="91" spans="1:12" x14ac:dyDescent="0.25">
      <c r="A91" s="17"/>
      <c r="B91" s="143"/>
      <c r="C91" s="144"/>
      <c r="D91" s="158"/>
      <c r="E91" s="43"/>
      <c r="F91" s="159"/>
      <c r="G91" s="160"/>
      <c r="H91" s="160"/>
      <c r="I91" s="160"/>
      <c r="J91" s="160"/>
      <c r="K91" s="161"/>
      <c r="L91" s="17"/>
    </row>
    <row r="92" spans="1:12" ht="16.5" thickBot="1" x14ac:dyDescent="0.3">
      <c r="A92" s="26"/>
      <c r="B92" s="149"/>
      <c r="C92" s="150"/>
      <c r="D92" s="169"/>
      <c r="E92" s="45"/>
      <c r="F92" s="170"/>
      <c r="G92" s="171"/>
      <c r="H92" s="171"/>
      <c r="I92" s="171"/>
      <c r="J92" s="171"/>
      <c r="K92" s="172"/>
      <c r="L92" s="26"/>
    </row>
    <row r="93" spans="1:12" x14ac:dyDescent="0.25">
      <c r="A93" s="68"/>
      <c r="B93" s="69"/>
      <c r="C93" s="46"/>
      <c r="D93" s="46"/>
      <c r="F93" s="47"/>
      <c r="G93" s="47"/>
      <c r="H93" s="47"/>
      <c r="I93" s="47"/>
      <c r="J93" s="47"/>
      <c r="K93" s="47"/>
    </row>
    <row r="94" spans="1:12" x14ac:dyDescent="0.25">
      <c r="B94" s="176" t="s">
        <v>464</v>
      </c>
      <c r="C94" s="176"/>
      <c r="D94" s="176"/>
      <c r="E94" s="6">
        <f>SUM(E39:E47)</f>
        <v>61.56</v>
      </c>
      <c r="F94" s="6"/>
      <c r="G94" s="6"/>
      <c r="H94" s="6"/>
      <c r="I94" s="6"/>
      <c r="J94" s="6"/>
      <c r="K94" s="6"/>
    </row>
    <row r="95" spans="1:12" x14ac:dyDescent="0.25">
      <c r="B95" s="176" t="s">
        <v>465</v>
      </c>
      <c r="C95" s="176"/>
      <c r="D95" s="176"/>
      <c r="E95" s="6">
        <f>SUM(E20:E37)</f>
        <v>3234.64</v>
      </c>
    </row>
    <row r="96" spans="1:12" x14ac:dyDescent="0.25">
      <c r="B96" s="176" t="s">
        <v>466</v>
      </c>
      <c r="C96" s="176"/>
      <c r="D96" s="176"/>
      <c r="E96" s="6">
        <f>SUM(E49:E63)</f>
        <v>3587.95</v>
      </c>
    </row>
    <row r="101" spans="2:2" ht="18.75" x14ac:dyDescent="0.3">
      <c r="B101" s="48"/>
    </row>
  </sheetData>
  <mergeCells count="145">
    <mergeCell ref="B71:D71"/>
    <mergeCell ref="F71:K71"/>
    <mergeCell ref="B72:D72"/>
    <mergeCell ref="F72:K72"/>
    <mergeCell ref="B73:D73"/>
    <mergeCell ref="F73:K73"/>
    <mergeCell ref="B67:D67"/>
    <mergeCell ref="F67:K67"/>
    <mergeCell ref="B68:D68"/>
    <mergeCell ref="F68:K68"/>
    <mergeCell ref="B70:D70"/>
    <mergeCell ref="F70:K70"/>
    <mergeCell ref="B69:D69"/>
    <mergeCell ref="F69:K69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B20:D20"/>
    <mergeCell ref="H20:K20"/>
    <mergeCell ref="B21:D21"/>
    <mergeCell ref="H21:K21"/>
    <mergeCell ref="I9:K9"/>
    <mergeCell ref="I10:K10"/>
    <mergeCell ref="I11:K11"/>
    <mergeCell ref="I12:K12"/>
    <mergeCell ref="I13:K13"/>
    <mergeCell ref="I15:K15"/>
    <mergeCell ref="I14:K14"/>
    <mergeCell ref="B19:D19"/>
    <mergeCell ref="H19:K19"/>
    <mergeCell ref="A18:L18"/>
    <mergeCell ref="B25:D25"/>
    <mergeCell ref="H25:K25"/>
    <mergeCell ref="B26:D26"/>
    <mergeCell ref="H26:K26"/>
    <mergeCell ref="B27:D27"/>
    <mergeCell ref="H27:K27"/>
    <mergeCell ref="B22:D22"/>
    <mergeCell ref="H22:K22"/>
    <mergeCell ref="B23:D23"/>
    <mergeCell ref="H23:K23"/>
    <mergeCell ref="B24:D24"/>
    <mergeCell ref="H24:K24"/>
    <mergeCell ref="B31:D31"/>
    <mergeCell ref="H31:K31"/>
    <mergeCell ref="B32:D32"/>
    <mergeCell ref="H32:K32"/>
    <mergeCell ref="B33:D33"/>
    <mergeCell ref="H33:K33"/>
    <mergeCell ref="B28:D28"/>
    <mergeCell ref="H28:K28"/>
    <mergeCell ref="B29:D29"/>
    <mergeCell ref="H29:K29"/>
    <mergeCell ref="B30:D30"/>
    <mergeCell ref="H30:K30"/>
    <mergeCell ref="B37:D37"/>
    <mergeCell ref="H37:K37"/>
    <mergeCell ref="B38:D38"/>
    <mergeCell ref="B39:D39"/>
    <mergeCell ref="F39:K39"/>
    <mergeCell ref="B34:D34"/>
    <mergeCell ref="H34:K34"/>
    <mergeCell ref="B35:D35"/>
    <mergeCell ref="H35:K35"/>
    <mergeCell ref="B36:D36"/>
    <mergeCell ref="H36:K36"/>
    <mergeCell ref="F38:K38"/>
    <mergeCell ref="B43:D43"/>
    <mergeCell ref="F43:K43"/>
    <mergeCell ref="B44:D44"/>
    <mergeCell ref="F44:K44"/>
    <mergeCell ref="B45:D45"/>
    <mergeCell ref="F45:K45"/>
    <mergeCell ref="B40:D40"/>
    <mergeCell ref="F40:K40"/>
    <mergeCell ref="B41:D41"/>
    <mergeCell ref="F41:K41"/>
    <mergeCell ref="B42:D42"/>
    <mergeCell ref="F42:K42"/>
    <mergeCell ref="B49:D49"/>
    <mergeCell ref="F49:K49"/>
    <mergeCell ref="B56:D56"/>
    <mergeCell ref="F56:K56"/>
    <mergeCell ref="B57:D57"/>
    <mergeCell ref="F57:K57"/>
    <mergeCell ref="B46:D46"/>
    <mergeCell ref="F46:K46"/>
    <mergeCell ref="B47:D47"/>
    <mergeCell ref="F47:K47"/>
    <mergeCell ref="B48:D48"/>
    <mergeCell ref="F48:K48"/>
    <mergeCell ref="B61:D61"/>
    <mergeCell ref="F61:K61"/>
    <mergeCell ref="B65:D65"/>
    <mergeCell ref="F65:K65"/>
    <mergeCell ref="B66:D66"/>
    <mergeCell ref="F66:K66"/>
    <mergeCell ref="B58:D58"/>
    <mergeCell ref="F58:K58"/>
    <mergeCell ref="B59:D59"/>
    <mergeCell ref="F59:K59"/>
    <mergeCell ref="B60:D60"/>
    <mergeCell ref="F60:K60"/>
    <mergeCell ref="B62:D62"/>
    <mergeCell ref="F62:K62"/>
    <mergeCell ref="B63:D63"/>
    <mergeCell ref="F63:K63"/>
    <mergeCell ref="B64:D64"/>
    <mergeCell ref="F64:K64"/>
    <mergeCell ref="B85:D85"/>
    <mergeCell ref="F85:K85"/>
    <mergeCell ref="B86:D86"/>
    <mergeCell ref="F86:K86"/>
    <mergeCell ref="B87:D87"/>
    <mergeCell ref="F87:K87"/>
    <mergeCell ref="B74:D74"/>
    <mergeCell ref="F74:K74"/>
    <mergeCell ref="B75:D75"/>
    <mergeCell ref="F75:K75"/>
    <mergeCell ref="B76:D76"/>
    <mergeCell ref="F76:K76"/>
    <mergeCell ref="B96:D96"/>
    <mergeCell ref="B95:D95"/>
    <mergeCell ref="B88:D88"/>
    <mergeCell ref="F88:K88"/>
    <mergeCell ref="B89:D89"/>
    <mergeCell ref="F89:K89"/>
    <mergeCell ref="B90:D90"/>
    <mergeCell ref="F90:K90"/>
    <mergeCell ref="B91:D91"/>
    <mergeCell ref="F91:K91"/>
    <mergeCell ref="B92:D92"/>
    <mergeCell ref="F92:K92"/>
    <mergeCell ref="B94:D94"/>
  </mergeCells>
  <conditionalFormatting sqref="A18:A19">
    <cfRule type="cellIs" dxfId="109" priority="1" stopIfTrue="1" operator="equal">
      <formula>"OK"</formula>
    </cfRule>
  </conditionalFormatting>
  <conditionalFormatting sqref="A99:XFD1048576">
    <cfRule type="cellIs" dxfId="108" priority="13" stopIfTrue="1" operator="equal">
      <formula>"OK"</formula>
    </cfRule>
  </conditionalFormatting>
  <conditionalFormatting sqref="B49:B58 B20:H37">
    <cfRule type="expression" dxfId="107" priority="20">
      <formula>$J20="ancien paiement"</formula>
    </cfRule>
  </conditionalFormatting>
  <conditionalFormatting sqref="B66:B68 E66:F68 B73:D73 E73:F74 B74 B75:K75 B76:B84 E76:F84 B85:K92">
    <cfRule type="expression" dxfId="106" priority="19">
      <formula>$F66="ancien paiement"</formula>
    </cfRule>
    <cfRule type="expression" dxfId="105" priority="21">
      <formula>$J66="ancien paiement"</formula>
    </cfRule>
  </conditionalFormatting>
  <conditionalFormatting sqref="B66:B68 E66:F68 B73:D73 E73:F74 B74 B75:XFD75 B76:B84 E76:F84 B85:XFD98 B19:H37 B38:XFD47 B69:XFD72 B64:XFD65 B1:J1 M1:XFD1 A2:XFD2 E3 G3:I3 M3:XFD3 B3:D6 K4 P4:XFD7 K5:L7 B7:I7 B8:D8 F8 I8 M8:XFD8 L9:XFD16 A17:XFD17 M18:XFD18 L19:XFD37 M48:XFD63 L66:XFD68 L73:XFD74 L76:XFD84">
    <cfRule type="cellIs" dxfId="104" priority="22" stopIfTrue="1" operator="equal">
      <formula>"OK"</formula>
    </cfRule>
  </conditionalFormatting>
  <conditionalFormatting sqref="B9:I16">
    <cfRule type="cellIs" dxfId="103" priority="11" stopIfTrue="1" operator="equal">
      <formula>"OK"</formula>
    </cfRule>
  </conditionalFormatting>
  <conditionalFormatting sqref="B39:K39">
    <cfRule type="expression" dxfId="102" priority="18">
      <formula>$J39="ancien paiement"</formula>
    </cfRule>
  </conditionalFormatting>
  <conditionalFormatting sqref="B39:K48 B49:B58">
    <cfRule type="expression" dxfId="101" priority="5">
      <formula>$F39="ancien paiement"</formula>
    </cfRule>
  </conditionalFormatting>
  <conditionalFormatting sqref="B41:K48">
    <cfRule type="expression" dxfId="100" priority="6">
      <formula>$J41="ancien paiement"</formula>
    </cfRule>
  </conditionalFormatting>
  <conditionalFormatting sqref="B60:K65">
    <cfRule type="expression" dxfId="99" priority="7">
      <formula>$F60="ancien paiement"</formula>
    </cfRule>
    <cfRule type="expression" dxfId="98" priority="8">
      <formula>$J60="ancien paiement"</formula>
    </cfRule>
  </conditionalFormatting>
  <conditionalFormatting sqref="B69:K70">
    <cfRule type="expression" dxfId="97" priority="16">
      <formula>$F69="ancien paiement"</formula>
    </cfRule>
    <cfRule type="expression" dxfId="96" priority="17">
      <formula>$J69="ancien paiement"</formula>
    </cfRule>
  </conditionalFormatting>
  <conditionalFormatting sqref="B72:K72">
    <cfRule type="expression" dxfId="95" priority="14">
      <formula>$F72="ancien paiement"</formula>
    </cfRule>
    <cfRule type="expression" dxfId="94" priority="15">
      <formula>$J72="ancien paiement"</formula>
    </cfRule>
  </conditionalFormatting>
  <conditionalFormatting sqref="B57:L63 B48:L55 B56:D56">
    <cfRule type="cellIs" dxfId="93" priority="9" stopIfTrue="1" operator="equal">
      <formula>"OK"</formula>
    </cfRule>
  </conditionalFormatting>
  <conditionalFormatting sqref="E49:E55">
    <cfRule type="expression" dxfId="92" priority="10">
      <formula>#REF!="ancien paiement"</formula>
    </cfRule>
  </conditionalFormatting>
  <conditionalFormatting sqref="E49:F58">
    <cfRule type="expression" dxfId="91" priority="2">
      <formula>$F49="ancien paiement"</formula>
    </cfRule>
    <cfRule type="expression" dxfId="90" priority="3">
      <formula>$J49="ancien paiement"</formula>
    </cfRule>
  </conditionalFormatting>
  <conditionalFormatting sqref="E4:I6">
    <cfRule type="cellIs" dxfId="89" priority="12" stopIfTrue="1" operator="equal">
      <formula>"OK"</formula>
    </cfRule>
  </conditionalFormatting>
  <conditionalFormatting sqref="E56:L56">
    <cfRule type="cellIs" dxfId="88" priority="4" stopIfTrue="1" operator="equal">
      <formula>"OK"</formula>
    </cfRule>
  </conditionalFormatting>
  <pageMargins left="0.7" right="0.7" top="0.75" bottom="0.75" header="0.3" footer="0.3"/>
  <pageSetup paperSize="9" scale="47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8B8-59BD-412E-8E0E-7010147AD426}">
  <sheetPr>
    <pageSetUpPr fitToPage="1"/>
  </sheetPr>
  <dimension ref="A1:N237"/>
  <sheetViews>
    <sheetView topLeftCell="A21" zoomScaleNormal="100" workbookViewId="0">
      <selection activeCell="M13" sqref="M13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46140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1569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15180</v>
      </c>
      <c r="G4" s="1" t="s">
        <v>1570</v>
      </c>
      <c r="I4" s="112" t="s">
        <v>3</v>
      </c>
      <c r="J4" s="113"/>
      <c r="K4" s="114">
        <f>E230+C14</f>
        <v>15197.42</v>
      </c>
      <c r="L4" s="115"/>
      <c r="N4" s="6"/>
    </row>
    <row r="5" spans="2:14" ht="16.5" thickBot="1" x14ac:dyDescent="0.3">
      <c r="E5" s="7" t="s">
        <v>4</v>
      </c>
      <c r="F5" s="8">
        <v>7431.58</v>
      </c>
      <c r="G5" s="1" t="s">
        <v>1574</v>
      </c>
      <c r="I5" s="95" t="s">
        <v>5</v>
      </c>
      <c r="J5" s="96"/>
      <c r="K5" s="97">
        <f>E15+E231</f>
        <v>7431.58</v>
      </c>
      <c r="L5" s="98"/>
      <c r="N5" s="6"/>
    </row>
    <row r="6" spans="2:14" ht="16.5" thickBot="1" x14ac:dyDescent="0.3">
      <c r="E6" s="9" t="s">
        <v>445</v>
      </c>
      <c r="F6" s="85">
        <v>17.420000000000002</v>
      </c>
      <c r="I6" s="95" t="s">
        <v>446</v>
      </c>
      <c r="J6" s="96"/>
      <c r="K6" s="97">
        <f>G15+E232</f>
        <v>24026.59</v>
      </c>
      <c r="L6" s="98"/>
    </row>
    <row r="7" spans="2:14" ht="16.5" thickBot="1" x14ac:dyDescent="0.3">
      <c r="I7" s="99" t="s">
        <v>6</v>
      </c>
      <c r="J7" s="100"/>
      <c r="K7" s="101">
        <f>SUM(E64:E207)</f>
        <v>251048.81999999995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1500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1380</v>
      </c>
      <c r="D10" s="19" t="s">
        <v>239</v>
      </c>
      <c r="E10" s="49">
        <v>3250.78</v>
      </c>
      <c r="F10" s="20" t="s">
        <v>9</v>
      </c>
      <c r="G10" s="21">
        <v>18206.48</v>
      </c>
      <c r="H10" s="6"/>
      <c r="I10" s="180" t="s">
        <v>318</v>
      </c>
      <c r="J10" s="181"/>
      <c r="K10" s="182"/>
      <c r="L10" s="80">
        <v>80</v>
      </c>
    </row>
    <row r="11" spans="2:14" ht="21.6" customHeight="1" x14ac:dyDescent="0.25">
      <c r="B11" s="17" t="s">
        <v>453</v>
      </c>
      <c r="C11" s="18">
        <v>650</v>
      </c>
      <c r="D11" s="22" t="s">
        <v>1282</v>
      </c>
      <c r="E11" s="50">
        <v>355.25</v>
      </c>
      <c r="F11" s="23" t="s">
        <v>454</v>
      </c>
      <c r="G11" s="24"/>
      <c r="H11" s="6"/>
      <c r="I11" s="140" t="s">
        <v>1571</v>
      </c>
      <c r="J11" s="141"/>
      <c r="K11" s="142"/>
      <c r="L11" s="21">
        <v>80</v>
      </c>
    </row>
    <row r="12" spans="2:14" ht="21.6" customHeight="1" x14ac:dyDescent="0.25">
      <c r="B12" s="17" t="s">
        <v>455</v>
      </c>
      <c r="C12" s="18">
        <v>50</v>
      </c>
      <c r="D12" s="22"/>
      <c r="E12" s="50"/>
      <c r="F12" s="23"/>
      <c r="G12" s="24"/>
      <c r="H12" s="6"/>
      <c r="I12" s="140" t="s">
        <v>1572</v>
      </c>
      <c r="J12" s="141"/>
      <c r="K12" s="142"/>
      <c r="L12" s="24">
        <v>8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1573</v>
      </c>
      <c r="J13" s="141"/>
      <c r="K13" s="142"/>
      <c r="L13" s="24">
        <v>196.8</v>
      </c>
    </row>
    <row r="14" spans="2:14" ht="23.85" customHeight="1" x14ac:dyDescent="0.25">
      <c r="B14" s="25" t="s">
        <v>11</v>
      </c>
      <c r="C14" s="18">
        <f>SUM(C9:C13)</f>
        <v>3580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638</v>
      </c>
      <c r="D15" s="28" t="s">
        <v>11</v>
      </c>
      <c r="E15" s="29">
        <f>SUM(E10:E14)</f>
        <v>3606.03</v>
      </c>
      <c r="F15" s="30" t="s">
        <v>11</v>
      </c>
      <c r="G15" s="31">
        <f>SUM(G10:G14)</f>
        <v>18206.48</v>
      </c>
      <c r="H15" s="6"/>
      <c r="I15" s="116" t="s">
        <v>457</v>
      </c>
      <c r="J15" s="117"/>
      <c r="K15" s="118"/>
      <c r="L15" s="32">
        <f>C15-'27'!C15</f>
        <v>-42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-322.8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154</v>
      </c>
      <c r="B20" s="128" t="s">
        <v>1145</v>
      </c>
      <c r="C20" s="129"/>
      <c r="D20" s="130"/>
      <c r="E20" s="20">
        <v>261.42</v>
      </c>
      <c r="F20" s="12" t="s">
        <v>75</v>
      </c>
      <c r="G20" s="51">
        <v>80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90</v>
      </c>
      <c r="B21" s="143" t="s">
        <v>1140</v>
      </c>
      <c r="C21" s="144"/>
      <c r="D21" s="145"/>
      <c r="E21" s="20">
        <v>583.47</v>
      </c>
      <c r="F21" s="23" t="s">
        <v>75</v>
      </c>
      <c r="G21" s="52">
        <v>306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57</v>
      </c>
      <c r="B22" s="143" t="s">
        <v>1549</v>
      </c>
      <c r="C22" s="144"/>
      <c r="D22" s="145"/>
      <c r="E22" s="20">
        <v>346.61</v>
      </c>
      <c r="F22" s="23" t="s">
        <v>1550</v>
      </c>
      <c r="G22" s="52">
        <v>715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342</v>
      </c>
      <c r="B23" s="143" t="s">
        <v>1551</v>
      </c>
      <c r="C23" s="144"/>
      <c r="D23" s="145"/>
      <c r="E23" s="20">
        <v>267.7</v>
      </c>
      <c r="F23" s="23" t="s">
        <v>56</v>
      </c>
      <c r="G23" s="52">
        <v>1681132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45</v>
      </c>
      <c r="B24" s="143" t="s">
        <v>48</v>
      </c>
      <c r="C24" s="144"/>
      <c r="D24" s="145"/>
      <c r="E24" s="20">
        <v>566.82000000000005</v>
      </c>
      <c r="F24" s="23" t="s">
        <v>46</v>
      </c>
      <c r="G24" s="52">
        <v>4170216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221</v>
      </c>
      <c r="B25" s="143" t="s">
        <v>1553</v>
      </c>
      <c r="C25" s="144"/>
      <c r="D25" s="145"/>
      <c r="E25" s="20">
        <v>823.67</v>
      </c>
      <c r="F25" s="23" t="s">
        <v>1554</v>
      </c>
      <c r="G25" s="52">
        <v>698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310</v>
      </c>
      <c r="B26" s="143" t="s">
        <v>1559</v>
      </c>
      <c r="C26" s="144"/>
      <c r="D26" s="145"/>
      <c r="E26" s="20">
        <v>634.66999999999996</v>
      </c>
      <c r="F26" s="23" t="s">
        <v>75</v>
      </c>
      <c r="G26" s="52">
        <v>894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1567</v>
      </c>
      <c r="B27" s="143" t="s">
        <v>1566</v>
      </c>
      <c r="C27" s="144"/>
      <c r="D27" s="145"/>
      <c r="E27" s="20">
        <v>341.19</v>
      </c>
      <c r="F27" s="23" t="s">
        <v>56</v>
      </c>
      <c r="G27" s="52">
        <v>1946182</v>
      </c>
      <c r="H27" s="146"/>
      <c r="I27" s="147"/>
      <c r="J27" s="147"/>
      <c r="K27" s="148"/>
      <c r="L27" s="23" t="s">
        <v>33</v>
      </c>
    </row>
    <row r="28" spans="1:12" x14ac:dyDescent="0.25">
      <c r="A28" s="66"/>
      <c r="B28" s="143"/>
      <c r="C28" s="144"/>
      <c r="D28" s="145"/>
      <c r="E28" s="20"/>
      <c r="F28" s="23"/>
      <c r="G28" s="52"/>
      <c r="H28" s="146" t="s">
        <v>1568</v>
      </c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1520</v>
      </c>
      <c r="B39" s="128" t="s">
        <v>1519</v>
      </c>
      <c r="C39" s="129"/>
      <c r="D39" s="162"/>
      <c r="E39" s="41">
        <v>671.41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152</v>
      </c>
      <c r="B40" s="143" t="s">
        <v>1333</v>
      </c>
      <c r="C40" s="144"/>
      <c r="D40" s="158"/>
      <c r="E40" s="43">
        <v>403.43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 t="s">
        <v>341</v>
      </c>
      <c r="B41" s="143" t="s">
        <v>1523</v>
      </c>
      <c r="C41" s="144"/>
      <c r="D41" s="158"/>
      <c r="E41" s="43">
        <v>236.41</v>
      </c>
      <c r="F41" s="159"/>
      <c r="G41" s="160"/>
      <c r="H41" s="160"/>
      <c r="I41" s="160"/>
      <c r="J41" s="160"/>
      <c r="K41" s="161"/>
      <c r="L41" s="17" t="s">
        <v>33</v>
      </c>
    </row>
    <row r="42" spans="1:12" x14ac:dyDescent="0.25">
      <c r="A42" s="66" t="s">
        <v>177</v>
      </c>
      <c r="B42" s="143" t="s">
        <v>1548</v>
      </c>
      <c r="C42" s="144"/>
      <c r="D42" s="158"/>
      <c r="E42" s="43">
        <v>306.17</v>
      </c>
      <c r="F42" s="159"/>
      <c r="G42" s="160"/>
      <c r="H42" s="160"/>
      <c r="I42" s="160"/>
      <c r="J42" s="160"/>
      <c r="K42" s="161"/>
      <c r="L42" s="23" t="s">
        <v>33</v>
      </c>
    </row>
    <row r="43" spans="1:12" x14ac:dyDescent="0.25">
      <c r="A43" s="66" t="s">
        <v>1556</v>
      </c>
      <c r="B43" s="143" t="s">
        <v>1233</v>
      </c>
      <c r="C43" s="144"/>
      <c r="D43" s="158"/>
      <c r="E43" s="43">
        <v>10000</v>
      </c>
      <c r="F43" s="159"/>
      <c r="G43" s="160"/>
      <c r="H43" s="160"/>
      <c r="I43" s="160"/>
      <c r="J43" s="160"/>
      <c r="K43" s="161"/>
      <c r="L43" s="23" t="s">
        <v>33</v>
      </c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1620</v>
      </c>
      <c r="C49" s="144"/>
      <c r="D49" s="158"/>
      <c r="E49" s="43">
        <f>SUM(F49+G49)</f>
        <v>1376.03</v>
      </c>
      <c r="F49" s="86">
        <v>1367.67</v>
      </c>
      <c r="G49" s="18">
        <v>8.36</v>
      </c>
      <c r="H49" s="164" t="s">
        <v>1629</v>
      </c>
      <c r="I49" s="164"/>
      <c r="J49" s="164"/>
      <c r="K49" s="165"/>
      <c r="L49" s="20" t="s">
        <v>71</v>
      </c>
    </row>
    <row r="50" spans="1:12" x14ac:dyDescent="0.25">
      <c r="A50" s="66"/>
      <c r="B50" s="143" t="s">
        <v>1621</v>
      </c>
      <c r="C50" s="144"/>
      <c r="D50" s="158"/>
      <c r="E50" s="43">
        <f t="shared" ref="E50:E57" si="0">SUM(F50+G50)</f>
        <v>458.85</v>
      </c>
      <c r="F50" s="86">
        <v>456</v>
      </c>
      <c r="G50" s="18">
        <v>2.85</v>
      </c>
      <c r="H50" s="160" t="s">
        <v>1629</v>
      </c>
      <c r="I50" s="160"/>
      <c r="J50" s="160"/>
      <c r="K50" s="161"/>
      <c r="L50" s="20" t="s">
        <v>71</v>
      </c>
    </row>
    <row r="51" spans="1:12" x14ac:dyDescent="0.25">
      <c r="A51" s="66"/>
      <c r="B51" s="143" t="s">
        <v>1622</v>
      </c>
      <c r="C51" s="144"/>
      <c r="D51" s="158"/>
      <c r="E51" s="43">
        <f t="shared" si="0"/>
        <v>553.57999999999993</v>
      </c>
      <c r="F51" s="86">
        <v>550.16</v>
      </c>
      <c r="G51" s="18">
        <v>3.42</v>
      </c>
      <c r="H51" s="160" t="s">
        <v>1629</v>
      </c>
      <c r="I51" s="160"/>
      <c r="J51" s="160"/>
      <c r="K51" s="161"/>
      <c r="L51" s="20" t="s">
        <v>71</v>
      </c>
    </row>
    <row r="52" spans="1:12" x14ac:dyDescent="0.25">
      <c r="A52" s="66"/>
      <c r="B52" s="143" t="s">
        <v>1623</v>
      </c>
      <c r="C52" s="144"/>
      <c r="D52" s="158"/>
      <c r="E52" s="43">
        <f t="shared" si="0"/>
        <v>1376.6299999999999</v>
      </c>
      <c r="F52" s="86">
        <v>1368.27</v>
      </c>
      <c r="G52" s="18">
        <v>8.36</v>
      </c>
      <c r="H52" s="160" t="s">
        <v>1629</v>
      </c>
      <c r="I52" s="160"/>
      <c r="J52" s="160"/>
      <c r="K52" s="161"/>
      <c r="L52" s="20" t="s">
        <v>71</v>
      </c>
    </row>
    <row r="53" spans="1:12" x14ac:dyDescent="0.25">
      <c r="A53" s="66"/>
      <c r="B53" s="143" t="s">
        <v>1624</v>
      </c>
      <c r="C53" s="144"/>
      <c r="D53" s="158"/>
      <c r="E53" s="43">
        <f t="shared" si="0"/>
        <v>419.01</v>
      </c>
      <c r="F53" s="86">
        <v>416.4</v>
      </c>
      <c r="G53" s="18">
        <v>2.61</v>
      </c>
      <c r="H53" s="160" t="s">
        <v>1629</v>
      </c>
      <c r="I53" s="160"/>
      <c r="J53" s="160"/>
      <c r="K53" s="161"/>
      <c r="L53" s="20" t="s">
        <v>71</v>
      </c>
    </row>
    <row r="54" spans="1:12" x14ac:dyDescent="0.25">
      <c r="A54" s="66"/>
      <c r="B54" s="143" t="s">
        <v>1625</v>
      </c>
      <c r="C54" s="144"/>
      <c r="D54" s="158"/>
      <c r="E54" s="43">
        <f t="shared" si="0"/>
        <v>490.69</v>
      </c>
      <c r="F54" s="86">
        <v>487.65</v>
      </c>
      <c r="G54" s="18">
        <v>3.04</v>
      </c>
      <c r="H54" s="160" t="s">
        <v>1629</v>
      </c>
      <c r="I54" s="160"/>
      <c r="J54" s="160"/>
      <c r="K54" s="161"/>
      <c r="L54" s="20" t="s">
        <v>71</v>
      </c>
    </row>
    <row r="55" spans="1:12" x14ac:dyDescent="0.25">
      <c r="A55" s="66"/>
      <c r="B55" s="143" t="s">
        <v>1626</v>
      </c>
      <c r="C55" s="144"/>
      <c r="D55" s="158"/>
      <c r="E55" s="43">
        <f t="shared" si="0"/>
        <v>462.75</v>
      </c>
      <c r="F55" s="86">
        <v>459.87</v>
      </c>
      <c r="G55" s="18">
        <v>2.88</v>
      </c>
      <c r="H55" s="160" t="s">
        <v>1629</v>
      </c>
      <c r="I55" s="160"/>
      <c r="J55" s="160"/>
      <c r="K55" s="161"/>
      <c r="L55" s="20" t="s">
        <v>71</v>
      </c>
    </row>
    <row r="56" spans="1:12" x14ac:dyDescent="0.25">
      <c r="A56" s="66"/>
      <c r="B56" s="143" t="s">
        <v>1627</v>
      </c>
      <c r="C56" s="144"/>
      <c r="D56" s="158"/>
      <c r="E56" s="43">
        <f t="shared" si="0"/>
        <v>324.17</v>
      </c>
      <c r="F56" s="86">
        <v>322.12</v>
      </c>
      <c r="G56" s="18">
        <v>2.0499999999999998</v>
      </c>
      <c r="H56" s="160" t="s">
        <v>1629</v>
      </c>
      <c r="I56" s="160"/>
      <c r="J56" s="160"/>
      <c r="K56" s="161"/>
      <c r="L56" s="20" t="s">
        <v>71</v>
      </c>
    </row>
    <row r="57" spans="1:12" ht="16.5" thickBot="1" x14ac:dyDescent="0.3">
      <c r="A57" s="66"/>
      <c r="B57" s="143" t="s">
        <v>1628</v>
      </c>
      <c r="C57" s="144"/>
      <c r="D57" s="158"/>
      <c r="E57" s="43">
        <f t="shared" si="0"/>
        <v>358.40000000000003</v>
      </c>
      <c r="F57" s="86">
        <v>350.98</v>
      </c>
      <c r="G57" s="18">
        <v>7.42</v>
      </c>
      <c r="H57" s="160" t="s">
        <v>1629</v>
      </c>
      <c r="I57" s="160"/>
      <c r="J57" s="160"/>
      <c r="K57" s="161"/>
      <c r="L57" s="20" t="s">
        <v>71</v>
      </c>
    </row>
    <row r="58" spans="1:12" ht="16.5" thickBot="1" x14ac:dyDescent="0.3">
      <c r="A58" s="71" t="s">
        <v>458</v>
      </c>
      <c r="B58" s="166" t="s">
        <v>462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43"/>
      <c r="C59" s="144">
        <v>802.36</v>
      </c>
      <c r="D59" s="158" t="s">
        <v>18</v>
      </c>
      <c r="E59" s="43"/>
      <c r="F59" s="163"/>
      <c r="G59" s="164"/>
      <c r="H59" s="164"/>
      <c r="I59" s="164"/>
      <c r="J59" s="164"/>
      <c r="K59" s="165"/>
      <c r="L59" s="20"/>
    </row>
    <row r="60" spans="1:12" x14ac:dyDescent="0.25">
      <c r="A60" s="66"/>
      <c r="B60" s="143"/>
      <c r="C60" s="144">
        <v>675.28</v>
      </c>
      <c r="D60" s="158" t="s">
        <v>19</v>
      </c>
      <c r="E60" s="43"/>
      <c r="F60" s="159"/>
      <c r="G60" s="160"/>
      <c r="H60" s="160"/>
      <c r="I60" s="160"/>
      <c r="J60" s="160"/>
      <c r="K60" s="161"/>
      <c r="L60" s="23"/>
    </row>
    <row r="61" spans="1:12" x14ac:dyDescent="0.25">
      <c r="A61" s="66"/>
      <c r="B61" s="143"/>
      <c r="C61" s="144">
        <v>689.72</v>
      </c>
      <c r="D61" s="158" t="s">
        <v>19</v>
      </c>
      <c r="E61" s="43"/>
      <c r="F61" s="159"/>
      <c r="G61" s="160"/>
      <c r="H61" s="160"/>
      <c r="I61" s="160"/>
      <c r="J61" s="160"/>
      <c r="K61" s="161"/>
      <c r="L61" s="23"/>
    </row>
    <row r="62" spans="1:12" ht="16.5" thickBot="1" x14ac:dyDescent="0.3">
      <c r="A62" s="66"/>
      <c r="B62" s="143"/>
      <c r="C62" s="144">
        <v>340.26</v>
      </c>
      <c r="D62" s="158" t="s">
        <v>20</v>
      </c>
      <c r="E62" s="43"/>
      <c r="F62" s="159"/>
      <c r="G62" s="160"/>
      <c r="H62" s="160"/>
      <c r="I62" s="160"/>
      <c r="J62" s="160"/>
      <c r="K62" s="161"/>
      <c r="L62" s="23"/>
    </row>
    <row r="63" spans="1:12" ht="16.5" thickBot="1" x14ac:dyDescent="0.3">
      <c r="A63" s="71" t="s">
        <v>458</v>
      </c>
      <c r="B63" s="166" t="s">
        <v>17</v>
      </c>
      <c r="C63" s="167"/>
      <c r="D63" s="168"/>
      <c r="E63" s="36" t="s">
        <v>8</v>
      </c>
      <c r="F63" s="119" t="s">
        <v>15</v>
      </c>
      <c r="G63" s="120"/>
      <c r="H63" s="120"/>
      <c r="I63" s="120"/>
      <c r="J63" s="120"/>
      <c r="K63" s="121"/>
      <c r="L63" s="39" t="s">
        <v>16</v>
      </c>
    </row>
    <row r="64" spans="1:12" x14ac:dyDescent="0.25">
      <c r="A64" s="66" t="s">
        <v>1512</v>
      </c>
      <c r="B64" s="128" t="s">
        <v>1513</v>
      </c>
      <c r="C64" s="129"/>
      <c r="D64" s="162"/>
      <c r="E64" s="43">
        <v>595.4</v>
      </c>
      <c r="F64" s="163"/>
      <c r="G64" s="164"/>
      <c r="H64" s="164"/>
      <c r="I64" s="164"/>
      <c r="J64" s="164"/>
      <c r="K64" s="165"/>
      <c r="L64" s="23" t="s">
        <v>71</v>
      </c>
    </row>
    <row r="65" spans="1:12" x14ac:dyDescent="0.25">
      <c r="A65" s="66" t="s">
        <v>1518</v>
      </c>
      <c r="B65" s="143" t="s">
        <v>1514</v>
      </c>
      <c r="C65" s="144"/>
      <c r="D65" s="158"/>
      <c r="E65" s="43">
        <v>83.25</v>
      </c>
      <c r="F65" s="159"/>
      <c r="G65" s="160"/>
      <c r="H65" s="160"/>
      <c r="I65" s="160"/>
      <c r="J65" s="160"/>
      <c r="K65" s="161"/>
      <c r="L65" s="44" t="s">
        <v>71</v>
      </c>
    </row>
    <row r="66" spans="1:12" x14ac:dyDescent="0.25">
      <c r="A66" s="66" t="s">
        <v>1518</v>
      </c>
      <c r="B66" s="143" t="s">
        <v>1514</v>
      </c>
      <c r="C66" s="144"/>
      <c r="D66" s="158"/>
      <c r="E66" s="43">
        <v>1529.79</v>
      </c>
      <c r="F66" s="159"/>
      <c r="G66" s="160"/>
      <c r="H66" s="160"/>
      <c r="I66" s="160"/>
      <c r="J66" s="160"/>
      <c r="K66" s="161"/>
      <c r="L66" s="44" t="s">
        <v>71</v>
      </c>
    </row>
    <row r="67" spans="1:12" x14ac:dyDescent="0.25">
      <c r="A67" s="66" t="s">
        <v>1293</v>
      </c>
      <c r="B67" s="143" t="s">
        <v>1515</v>
      </c>
      <c r="C67" s="144"/>
      <c r="D67" s="158"/>
      <c r="E67" s="43">
        <v>1456.55</v>
      </c>
      <c r="F67" s="159"/>
      <c r="G67" s="160"/>
      <c r="H67" s="160"/>
      <c r="I67" s="160"/>
      <c r="J67" s="160"/>
      <c r="K67" s="161"/>
      <c r="L67" s="44" t="s">
        <v>71</v>
      </c>
    </row>
    <row r="68" spans="1:12" x14ac:dyDescent="0.25">
      <c r="A68" s="66" t="s">
        <v>1517</v>
      </c>
      <c r="B68" s="143" t="s">
        <v>1516</v>
      </c>
      <c r="C68" s="144"/>
      <c r="D68" s="158"/>
      <c r="E68" s="43">
        <v>1711.67</v>
      </c>
      <c r="F68" s="159"/>
      <c r="G68" s="160"/>
      <c r="H68" s="160"/>
      <c r="I68" s="160"/>
      <c r="J68" s="160"/>
      <c r="K68" s="161"/>
      <c r="L68" s="44" t="s">
        <v>71</v>
      </c>
    </row>
    <row r="69" spans="1:12" x14ac:dyDescent="0.25">
      <c r="A69" s="66" t="s">
        <v>1528</v>
      </c>
      <c r="B69" s="143" t="s">
        <v>1529</v>
      </c>
      <c r="C69" s="144"/>
      <c r="D69" s="158"/>
      <c r="E69" s="43">
        <v>1000</v>
      </c>
      <c r="F69" s="159"/>
      <c r="G69" s="160"/>
      <c r="H69" s="160"/>
      <c r="I69" s="160"/>
      <c r="J69" s="160"/>
      <c r="K69" s="161"/>
      <c r="L69" s="44" t="s">
        <v>71</v>
      </c>
    </row>
    <row r="70" spans="1:12" x14ac:dyDescent="0.25">
      <c r="A70" s="66" t="s">
        <v>1530</v>
      </c>
      <c r="B70" s="143" t="s">
        <v>1531</v>
      </c>
      <c r="C70" s="144"/>
      <c r="D70" s="158"/>
      <c r="E70" s="43">
        <v>492.12</v>
      </c>
      <c r="F70" s="159"/>
      <c r="G70" s="160"/>
      <c r="H70" s="160"/>
      <c r="I70" s="160"/>
      <c r="J70" s="160"/>
      <c r="K70" s="161"/>
      <c r="L70" s="44" t="s">
        <v>71</v>
      </c>
    </row>
    <row r="71" spans="1:12" x14ac:dyDescent="0.25">
      <c r="A71" s="66" t="s">
        <v>1532</v>
      </c>
      <c r="B71" s="143" t="s">
        <v>1533</v>
      </c>
      <c r="C71" s="144"/>
      <c r="D71" s="158"/>
      <c r="E71" s="43">
        <v>567.54</v>
      </c>
      <c r="F71" s="159"/>
      <c r="G71" s="160"/>
      <c r="H71" s="160"/>
      <c r="I71" s="160"/>
      <c r="J71" s="160"/>
      <c r="K71" s="161"/>
      <c r="L71" s="44" t="s">
        <v>71</v>
      </c>
    </row>
    <row r="72" spans="1:12" x14ac:dyDescent="0.25">
      <c r="A72" s="66" t="s">
        <v>1237</v>
      </c>
      <c r="B72" s="143" t="s">
        <v>1534</v>
      </c>
      <c r="C72" s="144"/>
      <c r="D72" s="158"/>
      <c r="E72" s="43">
        <v>474.49</v>
      </c>
      <c r="F72" s="159"/>
      <c r="G72" s="160"/>
      <c r="H72" s="160"/>
      <c r="I72" s="160"/>
      <c r="J72" s="160"/>
      <c r="K72" s="161"/>
      <c r="L72" s="44" t="s">
        <v>71</v>
      </c>
    </row>
    <row r="73" spans="1:12" x14ac:dyDescent="0.25">
      <c r="A73" s="66" t="s">
        <v>160</v>
      </c>
      <c r="B73" s="143" t="s">
        <v>1535</v>
      </c>
      <c r="C73" s="144"/>
      <c r="D73" s="158"/>
      <c r="E73" s="43">
        <v>2138.4899999999998</v>
      </c>
      <c r="F73" s="159"/>
      <c r="G73" s="160"/>
      <c r="H73" s="160"/>
      <c r="I73" s="160"/>
      <c r="J73" s="160"/>
      <c r="K73" s="161"/>
      <c r="L73" s="44" t="s">
        <v>71</v>
      </c>
    </row>
    <row r="74" spans="1:12" x14ac:dyDescent="0.25">
      <c r="A74" s="66" t="s">
        <v>1536</v>
      </c>
      <c r="B74" s="143" t="s">
        <v>602</v>
      </c>
      <c r="C74" s="144"/>
      <c r="D74" s="158"/>
      <c r="E74" s="43">
        <v>123</v>
      </c>
      <c r="F74" s="159"/>
      <c r="G74" s="160"/>
      <c r="H74" s="160"/>
      <c r="I74" s="160"/>
      <c r="J74" s="160"/>
      <c r="K74" s="161"/>
      <c r="L74" s="44" t="s">
        <v>71</v>
      </c>
    </row>
    <row r="75" spans="1:12" x14ac:dyDescent="0.25">
      <c r="A75" s="66" t="s">
        <v>989</v>
      </c>
      <c r="B75" s="143" t="s">
        <v>1537</v>
      </c>
      <c r="C75" s="144"/>
      <c r="D75" s="158"/>
      <c r="E75" s="43">
        <v>746.13</v>
      </c>
      <c r="F75" s="159"/>
      <c r="G75" s="160"/>
      <c r="H75" s="160"/>
      <c r="I75" s="160"/>
      <c r="J75" s="160"/>
      <c r="K75" s="161"/>
      <c r="L75" s="44" t="s">
        <v>71</v>
      </c>
    </row>
    <row r="76" spans="1:12" x14ac:dyDescent="0.25">
      <c r="A76" s="66" t="s">
        <v>1538</v>
      </c>
      <c r="B76" s="143" t="s">
        <v>1539</v>
      </c>
      <c r="C76" s="144"/>
      <c r="D76" s="158"/>
      <c r="E76" s="43">
        <v>200</v>
      </c>
      <c r="F76" s="159"/>
      <c r="G76" s="160"/>
      <c r="H76" s="160"/>
      <c r="I76" s="160"/>
      <c r="J76" s="160"/>
      <c r="K76" s="161"/>
      <c r="L76" s="44" t="s">
        <v>71</v>
      </c>
    </row>
    <row r="77" spans="1:12" x14ac:dyDescent="0.25">
      <c r="A77" s="66" t="s">
        <v>1540</v>
      </c>
      <c r="B77" s="143" t="s">
        <v>1118</v>
      </c>
      <c r="C77" s="144"/>
      <c r="D77" s="158"/>
      <c r="E77" s="43">
        <v>138.96</v>
      </c>
      <c r="F77" s="159"/>
      <c r="G77" s="160"/>
      <c r="H77" s="160"/>
      <c r="I77" s="160"/>
      <c r="J77" s="160"/>
      <c r="K77" s="161"/>
      <c r="L77" s="44" t="s">
        <v>71</v>
      </c>
    </row>
    <row r="78" spans="1:12" x14ac:dyDescent="0.25">
      <c r="A78" s="66" t="s">
        <v>41</v>
      </c>
      <c r="B78" s="143" t="s">
        <v>1541</v>
      </c>
      <c r="C78" s="144"/>
      <c r="D78" s="158"/>
      <c r="E78" s="43">
        <v>1326.49</v>
      </c>
      <c r="F78" s="159"/>
      <c r="G78" s="160"/>
      <c r="H78" s="160"/>
      <c r="I78" s="160"/>
      <c r="J78" s="160"/>
      <c r="K78" s="161"/>
      <c r="L78" s="44" t="s">
        <v>71</v>
      </c>
    </row>
    <row r="79" spans="1:12" x14ac:dyDescent="0.25">
      <c r="A79" s="66" t="s">
        <v>1542</v>
      </c>
      <c r="B79" s="143" t="s">
        <v>1543</v>
      </c>
      <c r="C79" s="144"/>
      <c r="D79" s="158"/>
      <c r="E79" s="43">
        <v>417.61</v>
      </c>
      <c r="F79" s="159"/>
      <c r="G79" s="160"/>
      <c r="H79" s="160"/>
      <c r="I79" s="160"/>
      <c r="J79" s="160"/>
      <c r="K79" s="161"/>
      <c r="L79" s="44" t="s">
        <v>71</v>
      </c>
    </row>
    <row r="80" spans="1:12" x14ac:dyDescent="0.25">
      <c r="A80" s="66" t="s">
        <v>160</v>
      </c>
      <c r="B80" s="143" t="s">
        <v>1535</v>
      </c>
      <c r="C80" s="144"/>
      <c r="D80" s="158"/>
      <c r="E80" s="43">
        <v>2919.97</v>
      </c>
      <c r="F80" s="159"/>
      <c r="G80" s="160"/>
      <c r="H80" s="160"/>
      <c r="I80" s="160"/>
      <c r="J80" s="160"/>
      <c r="K80" s="161"/>
      <c r="L80" s="44" t="s">
        <v>71</v>
      </c>
    </row>
    <row r="81" spans="1:12" x14ac:dyDescent="0.25">
      <c r="A81" s="66" t="s">
        <v>41</v>
      </c>
      <c r="B81" s="143" t="s">
        <v>1541</v>
      </c>
      <c r="C81" s="144"/>
      <c r="D81" s="158"/>
      <c r="E81" s="43">
        <v>795</v>
      </c>
      <c r="F81" s="159"/>
      <c r="G81" s="160"/>
      <c r="H81" s="160"/>
      <c r="I81" s="160"/>
      <c r="J81" s="160"/>
      <c r="K81" s="161"/>
      <c r="L81" s="44" t="s">
        <v>71</v>
      </c>
    </row>
    <row r="82" spans="1:12" x14ac:dyDescent="0.25">
      <c r="A82" s="66" t="s">
        <v>1544</v>
      </c>
      <c r="B82" s="143" t="s">
        <v>1545</v>
      </c>
      <c r="C82" s="144"/>
      <c r="D82" s="158"/>
      <c r="E82" s="43">
        <v>364.26</v>
      </c>
      <c r="F82" s="159"/>
      <c r="G82" s="160"/>
      <c r="H82" s="160"/>
      <c r="I82" s="160"/>
      <c r="J82" s="160"/>
      <c r="K82" s="161"/>
      <c r="L82" s="44" t="s">
        <v>71</v>
      </c>
    </row>
    <row r="83" spans="1:12" x14ac:dyDescent="0.25">
      <c r="A83" s="66" t="s">
        <v>1546</v>
      </c>
      <c r="B83" s="143" t="s">
        <v>1547</v>
      </c>
      <c r="C83" s="144"/>
      <c r="D83" s="158"/>
      <c r="E83" s="43">
        <v>329.96</v>
      </c>
      <c r="F83" s="159"/>
      <c r="G83" s="160"/>
      <c r="H83" s="160"/>
      <c r="I83" s="160"/>
      <c r="J83" s="160"/>
      <c r="K83" s="161"/>
      <c r="L83" s="44" t="s">
        <v>71</v>
      </c>
    </row>
    <row r="84" spans="1:12" x14ac:dyDescent="0.25">
      <c r="A84" s="66"/>
      <c r="B84" s="143" t="s">
        <v>1575</v>
      </c>
      <c r="C84" s="144"/>
      <c r="D84" s="158"/>
      <c r="E84" s="43">
        <v>400.94</v>
      </c>
      <c r="F84" s="159"/>
      <c r="G84" s="160"/>
      <c r="H84" s="160"/>
      <c r="I84" s="160"/>
      <c r="J84" s="160"/>
      <c r="K84" s="161"/>
      <c r="L84" s="44" t="s">
        <v>71</v>
      </c>
    </row>
    <row r="85" spans="1:12" x14ac:dyDescent="0.25">
      <c r="A85" s="66"/>
      <c r="B85" s="143" t="s">
        <v>1613</v>
      </c>
      <c r="C85" s="144"/>
      <c r="D85" s="158"/>
      <c r="E85" s="43">
        <v>581.4</v>
      </c>
      <c r="F85" s="159"/>
      <c r="G85" s="160"/>
      <c r="H85" s="160"/>
      <c r="I85" s="160"/>
      <c r="J85" s="160"/>
      <c r="K85" s="161"/>
      <c r="L85" s="44" t="s">
        <v>71</v>
      </c>
    </row>
    <row r="86" spans="1:12" x14ac:dyDescent="0.25">
      <c r="A86" s="66"/>
      <c r="B86" s="143" t="s">
        <v>908</v>
      </c>
      <c r="C86" s="144"/>
      <c r="D86" s="158"/>
      <c r="E86" s="43">
        <v>259.5</v>
      </c>
      <c r="F86" s="159"/>
      <c r="G86" s="160"/>
      <c r="H86" s="160"/>
      <c r="I86" s="160"/>
      <c r="J86" s="160"/>
      <c r="K86" s="161"/>
      <c r="L86" s="44" t="s">
        <v>71</v>
      </c>
    </row>
    <row r="87" spans="1:12" x14ac:dyDescent="0.25">
      <c r="A87" s="66"/>
      <c r="B87" s="143" t="s">
        <v>746</v>
      </c>
      <c r="C87" s="144"/>
      <c r="D87" s="158"/>
      <c r="E87" s="43">
        <v>407.37</v>
      </c>
      <c r="F87" s="159"/>
      <c r="G87" s="160"/>
      <c r="H87" s="160"/>
      <c r="I87" s="160"/>
      <c r="J87" s="160"/>
      <c r="K87" s="161"/>
      <c r="L87" s="44" t="s">
        <v>71</v>
      </c>
    </row>
    <row r="88" spans="1:12" x14ac:dyDescent="0.25">
      <c r="A88" s="66"/>
      <c r="B88" s="143" t="s">
        <v>905</v>
      </c>
      <c r="C88" s="144"/>
      <c r="D88" s="158"/>
      <c r="E88" s="43">
        <v>437.5</v>
      </c>
      <c r="F88" s="159"/>
      <c r="G88" s="160"/>
      <c r="H88" s="160"/>
      <c r="I88" s="160"/>
      <c r="J88" s="160"/>
      <c r="K88" s="161"/>
      <c r="L88" s="44" t="s">
        <v>71</v>
      </c>
    </row>
    <row r="89" spans="1:12" x14ac:dyDescent="0.25">
      <c r="A89" s="66"/>
      <c r="B89" s="143" t="s">
        <v>556</v>
      </c>
      <c r="C89" s="144"/>
      <c r="D89" s="158"/>
      <c r="E89" s="43">
        <v>785.04</v>
      </c>
      <c r="F89" s="159"/>
      <c r="G89" s="160"/>
      <c r="H89" s="160"/>
      <c r="I89" s="160"/>
      <c r="J89" s="160"/>
      <c r="K89" s="161"/>
      <c r="L89" s="44" t="s">
        <v>71</v>
      </c>
    </row>
    <row r="90" spans="1:12" x14ac:dyDescent="0.25">
      <c r="A90" s="66"/>
      <c r="B90" s="143" t="s">
        <v>1576</v>
      </c>
      <c r="C90" s="144"/>
      <c r="D90" s="158"/>
      <c r="E90" s="43">
        <v>28801.5</v>
      </c>
      <c r="F90" s="159"/>
      <c r="G90" s="160"/>
      <c r="H90" s="160"/>
      <c r="I90" s="160"/>
      <c r="J90" s="160"/>
      <c r="K90" s="161"/>
      <c r="L90" s="44" t="s">
        <v>71</v>
      </c>
    </row>
    <row r="91" spans="1:12" x14ac:dyDescent="0.25">
      <c r="A91" s="66"/>
      <c r="B91" s="143" t="s">
        <v>889</v>
      </c>
      <c r="C91" s="144"/>
      <c r="D91" s="158"/>
      <c r="E91" s="43">
        <v>611.79999999999995</v>
      </c>
      <c r="F91" s="159"/>
      <c r="G91" s="160"/>
      <c r="H91" s="160"/>
      <c r="I91" s="160"/>
      <c r="J91" s="160"/>
      <c r="K91" s="161"/>
      <c r="L91" s="44" t="s">
        <v>71</v>
      </c>
    </row>
    <row r="92" spans="1:12" x14ac:dyDescent="0.25">
      <c r="A92" s="66"/>
      <c r="B92" s="143" t="s">
        <v>726</v>
      </c>
      <c r="C92" s="144"/>
      <c r="D92" s="158"/>
      <c r="E92" s="43">
        <v>839.34</v>
      </c>
      <c r="F92" s="159"/>
      <c r="G92" s="160"/>
      <c r="H92" s="160"/>
      <c r="I92" s="160"/>
      <c r="J92" s="160"/>
      <c r="K92" s="161"/>
      <c r="L92" s="44" t="s">
        <v>71</v>
      </c>
    </row>
    <row r="93" spans="1:12" x14ac:dyDescent="0.25">
      <c r="A93" s="66"/>
      <c r="B93" s="143" t="s">
        <v>751</v>
      </c>
      <c r="C93" s="144"/>
      <c r="D93" s="158"/>
      <c r="E93" s="43">
        <v>2362.2199999999998</v>
      </c>
      <c r="F93" s="159"/>
      <c r="G93" s="160"/>
      <c r="H93" s="160"/>
      <c r="I93" s="160"/>
      <c r="J93" s="160"/>
      <c r="K93" s="161"/>
      <c r="L93" s="44" t="s">
        <v>71</v>
      </c>
    </row>
    <row r="94" spans="1:12" x14ac:dyDescent="0.25">
      <c r="A94" s="66"/>
      <c r="B94" s="143" t="s">
        <v>1577</v>
      </c>
      <c r="C94" s="144"/>
      <c r="D94" s="158"/>
      <c r="E94" s="43">
        <v>480.63</v>
      </c>
      <c r="F94" s="159"/>
      <c r="G94" s="160"/>
      <c r="H94" s="160"/>
      <c r="I94" s="160"/>
      <c r="J94" s="160"/>
      <c r="K94" s="161"/>
      <c r="L94" s="44" t="s">
        <v>71</v>
      </c>
    </row>
    <row r="95" spans="1:12" x14ac:dyDescent="0.25">
      <c r="A95" s="66"/>
      <c r="B95" s="143" t="s">
        <v>760</v>
      </c>
      <c r="C95" s="144"/>
      <c r="D95" s="158"/>
      <c r="E95" s="43">
        <v>2582.79</v>
      </c>
      <c r="F95" s="159"/>
      <c r="G95" s="160"/>
      <c r="H95" s="160"/>
      <c r="I95" s="160"/>
      <c r="J95" s="160"/>
      <c r="K95" s="161"/>
      <c r="L95" s="44" t="s">
        <v>71</v>
      </c>
    </row>
    <row r="96" spans="1:12" x14ac:dyDescent="0.25">
      <c r="A96" s="66"/>
      <c r="B96" s="143" t="s">
        <v>736</v>
      </c>
      <c r="C96" s="144"/>
      <c r="D96" s="158"/>
      <c r="E96" s="43">
        <v>261.19</v>
      </c>
      <c r="F96" s="159"/>
      <c r="G96" s="160"/>
      <c r="H96" s="160"/>
      <c r="I96" s="160"/>
      <c r="J96" s="160"/>
      <c r="K96" s="161"/>
      <c r="L96" s="44" t="s">
        <v>71</v>
      </c>
    </row>
    <row r="97" spans="1:12" x14ac:dyDescent="0.25">
      <c r="A97" s="66"/>
      <c r="B97" s="143" t="s">
        <v>654</v>
      </c>
      <c r="C97" s="144"/>
      <c r="D97" s="158"/>
      <c r="E97" s="43">
        <v>1767.98</v>
      </c>
      <c r="F97" s="159"/>
      <c r="G97" s="160"/>
      <c r="H97" s="160"/>
      <c r="I97" s="160"/>
      <c r="J97" s="160"/>
      <c r="K97" s="161"/>
      <c r="L97" s="44" t="s">
        <v>71</v>
      </c>
    </row>
    <row r="98" spans="1:12" x14ac:dyDescent="0.25">
      <c r="A98" s="66"/>
      <c r="B98" s="143" t="s">
        <v>813</v>
      </c>
      <c r="C98" s="144"/>
      <c r="D98" s="158"/>
      <c r="E98" s="43">
        <v>2651.58</v>
      </c>
      <c r="F98" s="159"/>
      <c r="G98" s="160"/>
      <c r="H98" s="160"/>
      <c r="I98" s="160"/>
      <c r="J98" s="160"/>
      <c r="K98" s="161"/>
      <c r="L98" s="44" t="s">
        <v>71</v>
      </c>
    </row>
    <row r="99" spans="1:12" x14ac:dyDescent="0.25">
      <c r="A99" s="66"/>
      <c r="B99" s="143" t="s">
        <v>1578</v>
      </c>
      <c r="C99" s="144"/>
      <c r="D99" s="158"/>
      <c r="E99" s="43">
        <v>322.55</v>
      </c>
      <c r="F99" s="159"/>
      <c r="G99" s="160"/>
      <c r="H99" s="160"/>
      <c r="I99" s="160"/>
      <c r="J99" s="160"/>
      <c r="K99" s="161"/>
      <c r="L99" s="44" t="s">
        <v>71</v>
      </c>
    </row>
    <row r="100" spans="1:12" x14ac:dyDescent="0.25">
      <c r="A100" s="66"/>
      <c r="B100" s="143" t="s">
        <v>1579</v>
      </c>
      <c r="C100" s="144"/>
      <c r="D100" s="158"/>
      <c r="E100" s="43">
        <v>1699.65</v>
      </c>
      <c r="F100" s="159"/>
      <c r="G100" s="160"/>
      <c r="H100" s="160"/>
      <c r="I100" s="160"/>
      <c r="J100" s="160"/>
      <c r="K100" s="161"/>
      <c r="L100" s="44" t="s">
        <v>71</v>
      </c>
    </row>
    <row r="101" spans="1:12" x14ac:dyDescent="0.25">
      <c r="A101" s="66"/>
      <c r="B101" s="143" t="s">
        <v>1580</v>
      </c>
      <c r="C101" s="144"/>
      <c r="D101" s="158"/>
      <c r="E101" s="43">
        <v>678.23</v>
      </c>
      <c r="F101" s="159"/>
      <c r="G101" s="160"/>
      <c r="H101" s="160"/>
      <c r="I101" s="160"/>
      <c r="J101" s="160"/>
      <c r="K101" s="161"/>
      <c r="L101" s="44" t="s">
        <v>71</v>
      </c>
    </row>
    <row r="102" spans="1:12" x14ac:dyDescent="0.25">
      <c r="A102" s="66"/>
      <c r="B102" s="143" t="s">
        <v>751</v>
      </c>
      <c r="C102" s="144"/>
      <c r="D102" s="158"/>
      <c r="E102" s="43">
        <v>2026.74</v>
      </c>
      <c r="F102" s="159"/>
      <c r="G102" s="160"/>
      <c r="H102" s="160"/>
      <c r="I102" s="160"/>
      <c r="J102" s="160"/>
      <c r="K102" s="161"/>
      <c r="L102" s="44" t="s">
        <v>71</v>
      </c>
    </row>
    <row r="103" spans="1:12" x14ac:dyDescent="0.25">
      <c r="A103" s="66"/>
      <c r="B103" s="143" t="s">
        <v>939</v>
      </c>
      <c r="C103" s="144"/>
      <c r="D103" s="158"/>
      <c r="E103" s="43">
        <v>346.27</v>
      </c>
      <c r="F103" s="159"/>
      <c r="G103" s="160"/>
      <c r="H103" s="160"/>
      <c r="I103" s="160"/>
      <c r="J103" s="160"/>
      <c r="K103" s="161"/>
      <c r="L103" s="44" t="s">
        <v>71</v>
      </c>
    </row>
    <row r="104" spans="1:12" x14ac:dyDescent="0.25">
      <c r="A104" s="66"/>
      <c r="B104" s="143" t="s">
        <v>1581</v>
      </c>
      <c r="C104" s="144"/>
      <c r="D104" s="158"/>
      <c r="E104" s="43">
        <v>444.68</v>
      </c>
      <c r="F104" s="159"/>
      <c r="G104" s="160"/>
      <c r="H104" s="160"/>
      <c r="I104" s="160"/>
      <c r="J104" s="160"/>
      <c r="K104" s="161"/>
      <c r="L104" s="44" t="s">
        <v>71</v>
      </c>
    </row>
    <row r="105" spans="1:12" x14ac:dyDescent="0.25">
      <c r="A105" s="66"/>
      <c r="B105" s="143" t="s">
        <v>1582</v>
      </c>
      <c r="C105" s="144"/>
      <c r="D105" s="158"/>
      <c r="E105" s="43">
        <v>586.62</v>
      </c>
      <c r="F105" s="159"/>
      <c r="G105" s="160"/>
      <c r="H105" s="160"/>
      <c r="I105" s="160"/>
      <c r="J105" s="160"/>
      <c r="K105" s="161"/>
      <c r="L105" s="44" t="s">
        <v>71</v>
      </c>
    </row>
    <row r="106" spans="1:12" x14ac:dyDescent="0.25">
      <c r="A106" s="66"/>
      <c r="B106" s="143" t="s">
        <v>1583</v>
      </c>
      <c r="C106" s="144"/>
      <c r="D106" s="158"/>
      <c r="E106" s="43">
        <v>520.97</v>
      </c>
      <c r="F106" s="159"/>
      <c r="G106" s="160"/>
      <c r="H106" s="160"/>
      <c r="I106" s="160"/>
      <c r="J106" s="160"/>
      <c r="K106" s="161"/>
      <c r="L106" s="44" t="s">
        <v>71</v>
      </c>
    </row>
    <row r="107" spans="1:12" x14ac:dyDescent="0.25">
      <c r="A107" s="66"/>
      <c r="B107" s="143" t="s">
        <v>925</v>
      </c>
      <c r="C107" s="144"/>
      <c r="D107" s="158"/>
      <c r="E107" s="43">
        <v>320.54000000000002</v>
      </c>
      <c r="F107" s="159"/>
      <c r="G107" s="160"/>
      <c r="H107" s="160"/>
      <c r="I107" s="160"/>
      <c r="J107" s="160"/>
      <c r="K107" s="161"/>
      <c r="L107" s="44" t="s">
        <v>71</v>
      </c>
    </row>
    <row r="108" spans="1:12" x14ac:dyDescent="0.25">
      <c r="A108" s="66"/>
      <c r="B108" s="143" t="s">
        <v>1584</v>
      </c>
      <c r="C108" s="144"/>
      <c r="D108" s="158"/>
      <c r="E108" s="43">
        <v>421.26</v>
      </c>
      <c r="F108" s="159"/>
      <c r="G108" s="160"/>
      <c r="H108" s="160"/>
      <c r="I108" s="160"/>
      <c r="J108" s="160"/>
      <c r="K108" s="161"/>
      <c r="L108" s="44" t="s">
        <v>71</v>
      </c>
    </row>
    <row r="109" spans="1:12" x14ac:dyDescent="0.25">
      <c r="A109" s="66"/>
      <c r="B109" s="143" t="s">
        <v>1585</v>
      </c>
      <c r="C109" s="144"/>
      <c r="D109" s="158"/>
      <c r="E109" s="43">
        <v>1776.83</v>
      </c>
      <c r="F109" s="159"/>
      <c r="G109" s="160"/>
      <c r="H109" s="160"/>
      <c r="I109" s="160"/>
      <c r="J109" s="160"/>
      <c r="K109" s="161"/>
      <c r="L109" s="44" t="s">
        <v>71</v>
      </c>
    </row>
    <row r="110" spans="1:12" x14ac:dyDescent="0.25">
      <c r="A110" s="66"/>
      <c r="B110" s="143" t="s">
        <v>765</v>
      </c>
      <c r="C110" s="144"/>
      <c r="D110" s="158"/>
      <c r="E110" s="43">
        <v>376.21</v>
      </c>
      <c r="F110" s="159"/>
      <c r="G110" s="160"/>
      <c r="H110" s="160"/>
      <c r="I110" s="160"/>
      <c r="J110" s="160"/>
      <c r="K110" s="161"/>
      <c r="L110" s="44" t="s">
        <v>71</v>
      </c>
    </row>
    <row r="111" spans="1:12" x14ac:dyDescent="0.25">
      <c r="A111" s="66"/>
      <c r="B111" s="143" t="s">
        <v>1586</v>
      </c>
      <c r="C111" s="144"/>
      <c r="D111" s="158"/>
      <c r="E111" s="43">
        <v>1471.65</v>
      </c>
      <c r="F111" s="159"/>
      <c r="G111" s="160"/>
      <c r="H111" s="160"/>
      <c r="I111" s="160"/>
      <c r="J111" s="160"/>
      <c r="K111" s="161"/>
      <c r="L111" s="44" t="s">
        <v>71</v>
      </c>
    </row>
    <row r="112" spans="1:12" x14ac:dyDescent="0.25">
      <c r="A112" s="66"/>
      <c r="B112" s="143" t="s">
        <v>787</v>
      </c>
      <c r="C112" s="144"/>
      <c r="D112" s="158"/>
      <c r="E112" s="43">
        <v>303.67</v>
      </c>
      <c r="F112" s="159"/>
      <c r="G112" s="160"/>
      <c r="H112" s="160"/>
      <c r="I112" s="160"/>
      <c r="J112" s="160"/>
      <c r="K112" s="161"/>
      <c r="L112" s="44" t="s">
        <v>71</v>
      </c>
    </row>
    <row r="113" spans="1:12" x14ac:dyDescent="0.25">
      <c r="A113" s="66"/>
      <c r="B113" s="143" t="s">
        <v>1587</v>
      </c>
      <c r="C113" s="144"/>
      <c r="D113" s="158"/>
      <c r="E113" s="43">
        <v>674.43</v>
      </c>
      <c r="F113" s="159"/>
      <c r="G113" s="160"/>
      <c r="H113" s="160"/>
      <c r="I113" s="160"/>
      <c r="J113" s="160"/>
      <c r="K113" s="161"/>
      <c r="L113" s="44" t="s">
        <v>71</v>
      </c>
    </row>
    <row r="114" spans="1:12" x14ac:dyDescent="0.25">
      <c r="A114" s="66"/>
      <c r="B114" s="143" t="s">
        <v>1588</v>
      </c>
      <c r="C114" s="144"/>
      <c r="D114" s="158"/>
      <c r="E114" s="43">
        <v>3278</v>
      </c>
      <c r="F114" s="159"/>
      <c r="G114" s="160"/>
      <c r="H114" s="160"/>
      <c r="I114" s="160"/>
      <c r="J114" s="160"/>
      <c r="K114" s="161"/>
      <c r="L114" s="44" t="s">
        <v>71</v>
      </c>
    </row>
    <row r="115" spans="1:12" x14ac:dyDescent="0.25">
      <c r="A115" s="66"/>
      <c r="B115" s="143" t="s">
        <v>798</v>
      </c>
      <c r="C115" s="144"/>
      <c r="D115" s="158"/>
      <c r="E115" s="43">
        <v>693.16</v>
      </c>
      <c r="F115" s="159"/>
      <c r="G115" s="160"/>
      <c r="H115" s="160"/>
      <c r="I115" s="160"/>
      <c r="J115" s="160"/>
      <c r="K115" s="161"/>
      <c r="L115" s="44" t="s">
        <v>71</v>
      </c>
    </row>
    <row r="116" spans="1:12" x14ac:dyDescent="0.25">
      <c r="A116" s="66"/>
      <c r="B116" s="143" t="s">
        <v>1589</v>
      </c>
      <c r="C116" s="144"/>
      <c r="D116" s="158"/>
      <c r="E116" s="43">
        <v>4735.76</v>
      </c>
      <c r="F116" s="159"/>
      <c r="G116" s="160"/>
      <c r="H116" s="160"/>
      <c r="I116" s="160"/>
      <c r="J116" s="160"/>
      <c r="K116" s="161"/>
      <c r="L116" s="44" t="s">
        <v>71</v>
      </c>
    </row>
    <row r="117" spans="1:12" x14ac:dyDescent="0.25">
      <c r="A117" s="66"/>
      <c r="B117" s="143" t="s">
        <v>556</v>
      </c>
      <c r="C117" s="144"/>
      <c r="D117" s="158"/>
      <c r="E117" s="43">
        <v>1276.96</v>
      </c>
      <c r="F117" s="159"/>
      <c r="G117" s="160"/>
      <c r="H117" s="160"/>
      <c r="I117" s="160"/>
      <c r="J117" s="160"/>
      <c r="K117" s="161"/>
      <c r="L117" s="44" t="s">
        <v>71</v>
      </c>
    </row>
    <row r="118" spans="1:12" x14ac:dyDescent="0.25">
      <c r="A118" s="66"/>
      <c r="B118" s="143" t="s">
        <v>735</v>
      </c>
      <c r="C118" s="144"/>
      <c r="D118" s="158"/>
      <c r="E118" s="43">
        <v>265.85000000000002</v>
      </c>
      <c r="F118" s="159"/>
      <c r="G118" s="160"/>
      <c r="H118" s="160"/>
      <c r="I118" s="160"/>
      <c r="J118" s="160"/>
      <c r="K118" s="161"/>
      <c r="L118" s="44" t="s">
        <v>71</v>
      </c>
    </row>
    <row r="119" spans="1:12" x14ac:dyDescent="0.25">
      <c r="A119" s="66"/>
      <c r="B119" s="143" t="s">
        <v>906</v>
      </c>
      <c r="C119" s="144"/>
      <c r="D119" s="158"/>
      <c r="E119" s="43">
        <v>198.34</v>
      </c>
      <c r="F119" s="159"/>
      <c r="G119" s="160"/>
      <c r="H119" s="160"/>
      <c r="I119" s="160"/>
      <c r="J119" s="160"/>
      <c r="K119" s="161"/>
      <c r="L119" s="44" t="s">
        <v>71</v>
      </c>
    </row>
    <row r="120" spans="1:12" x14ac:dyDescent="0.25">
      <c r="A120" s="66"/>
      <c r="B120" s="143" t="s">
        <v>1581</v>
      </c>
      <c r="C120" s="144"/>
      <c r="D120" s="158"/>
      <c r="E120" s="43">
        <v>578.79999999999995</v>
      </c>
      <c r="F120" s="159"/>
      <c r="G120" s="160"/>
      <c r="H120" s="160"/>
      <c r="I120" s="160"/>
      <c r="J120" s="160"/>
      <c r="K120" s="161"/>
      <c r="L120" s="44" t="s">
        <v>71</v>
      </c>
    </row>
    <row r="121" spans="1:12" x14ac:dyDescent="0.25">
      <c r="A121" s="66"/>
      <c r="B121" s="143" t="s">
        <v>1590</v>
      </c>
      <c r="C121" s="144"/>
      <c r="D121" s="158"/>
      <c r="E121" s="43">
        <v>702.6</v>
      </c>
      <c r="F121" s="159"/>
      <c r="G121" s="160"/>
      <c r="H121" s="160"/>
      <c r="I121" s="160"/>
      <c r="J121" s="160"/>
      <c r="K121" s="161"/>
      <c r="L121" s="44" t="s">
        <v>71</v>
      </c>
    </row>
    <row r="122" spans="1:12" x14ac:dyDescent="0.25">
      <c r="A122" s="66"/>
      <c r="B122" s="143" t="s">
        <v>872</v>
      </c>
      <c r="C122" s="144"/>
      <c r="D122" s="158"/>
      <c r="E122" s="43">
        <v>1978.51</v>
      </c>
      <c r="F122" s="159"/>
      <c r="G122" s="160"/>
      <c r="H122" s="160"/>
      <c r="I122" s="160"/>
      <c r="J122" s="160"/>
      <c r="K122" s="161"/>
      <c r="L122" s="44" t="s">
        <v>71</v>
      </c>
    </row>
    <row r="123" spans="1:12" x14ac:dyDescent="0.25">
      <c r="A123" s="66"/>
      <c r="B123" s="143" t="s">
        <v>1591</v>
      </c>
      <c r="C123" s="144"/>
      <c r="D123" s="158"/>
      <c r="E123" s="43">
        <v>926.95</v>
      </c>
      <c r="F123" s="159"/>
      <c r="G123" s="160"/>
      <c r="H123" s="160"/>
      <c r="I123" s="160"/>
      <c r="J123" s="160"/>
      <c r="K123" s="161"/>
      <c r="L123" s="44" t="s">
        <v>71</v>
      </c>
    </row>
    <row r="124" spans="1:12" x14ac:dyDescent="0.25">
      <c r="A124" s="66"/>
      <c r="B124" s="143" t="s">
        <v>1592</v>
      </c>
      <c r="C124" s="144"/>
      <c r="D124" s="158"/>
      <c r="E124" s="43">
        <v>3720.29</v>
      </c>
      <c r="F124" s="159"/>
      <c r="G124" s="160"/>
      <c r="H124" s="160"/>
      <c r="I124" s="160"/>
      <c r="J124" s="160"/>
      <c r="K124" s="161"/>
      <c r="L124" s="44" t="s">
        <v>71</v>
      </c>
    </row>
    <row r="125" spans="1:12" x14ac:dyDescent="0.25">
      <c r="A125" s="66"/>
      <c r="B125" s="143" t="s">
        <v>1589</v>
      </c>
      <c r="C125" s="144"/>
      <c r="D125" s="158"/>
      <c r="E125" s="43">
        <v>3002.74</v>
      </c>
      <c r="F125" s="159"/>
      <c r="G125" s="160"/>
      <c r="H125" s="160"/>
      <c r="I125" s="160"/>
      <c r="J125" s="160"/>
      <c r="K125" s="161"/>
      <c r="L125" s="44" t="s">
        <v>71</v>
      </c>
    </row>
    <row r="126" spans="1:12" x14ac:dyDescent="0.25">
      <c r="A126" s="66"/>
      <c r="B126" s="143" t="s">
        <v>1593</v>
      </c>
      <c r="C126" s="144"/>
      <c r="D126" s="158"/>
      <c r="E126" s="43">
        <v>1840.34</v>
      </c>
      <c r="F126" s="159"/>
      <c r="G126" s="160"/>
      <c r="H126" s="160"/>
      <c r="I126" s="160"/>
      <c r="J126" s="160"/>
      <c r="K126" s="161"/>
      <c r="L126" s="44" t="s">
        <v>71</v>
      </c>
    </row>
    <row r="127" spans="1:12" x14ac:dyDescent="0.25">
      <c r="A127" s="66"/>
      <c r="B127" s="143" t="s">
        <v>1594</v>
      </c>
      <c r="C127" s="144"/>
      <c r="D127" s="158"/>
      <c r="E127" s="43">
        <v>5333.23</v>
      </c>
      <c r="F127" s="159"/>
      <c r="G127" s="160"/>
      <c r="H127" s="160"/>
      <c r="I127" s="160"/>
      <c r="J127" s="160"/>
      <c r="K127" s="161"/>
      <c r="L127" s="44" t="s">
        <v>71</v>
      </c>
    </row>
    <row r="128" spans="1:12" x14ac:dyDescent="0.25">
      <c r="A128" s="66"/>
      <c r="B128" s="143" t="s">
        <v>736</v>
      </c>
      <c r="C128" s="144"/>
      <c r="D128" s="158"/>
      <c r="E128" s="43">
        <v>375.69</v>
      </c>
      <c r="F128" s="159"/>
      <c r="G128" s="160"/>
      <c r="H128" s="160"/>
      <c r="I128" s="160"/>
      <c r="J128" s="160"/>
      <c r="K128" s="161"/>
      <c r="L128" s="44" t="s">
        <v>71</v>
      </c>
    </row>
    <row r="129" spans="1:12" x14ac:dyDescent="0.25">
      <c r="A129" s="66"/>
      <c r="B129" s="143" t="s">
        <v>764</v>
      </c>
      <c r="C129" s="144"/>
      <c r="D129" s="158"/>
      <c r="E129" s="43">
        <v>469.82</v>
      </c>
      <c r="F129" s="159"/>
      <c r="G129" s="160"/>
      <c r="H129" s="160"/>
      <c r="I129" s="160"/>
      <c r="J129" s="160"/>
      <c r="K129" s="161"/>
      <c r="L129" s="44" t="s">
        <v>71</v>
      </c>
    </row>
    <row r="130" spans="1:12" x14ac:dyDescent="0.25">
      <c r="A130" s="66"/>
      <c r="B130" s="143" t="s">
        <v>745</v>
      </c>
      <c r="C130" s="144"/>
      <c r="D130" s="158"/>
      <c r="E130" s="43">
        <v>276.05</v>
      </c>
      <c r="F130" s="159"/>
      <c r="G130" s="160"/>
      <c r="H130" s="160"/>
      <c r="I130" s="160"/>
      <c r="J130" s="160"/>
      <c r="K130" s="161"/>
      <c r="L130" s="44" t="s">
        <v>71</v>
      </c>
    </row>
    <row r="131" spans="1:12" x14ac:dyDescent="0.25">
      <c r="A131" s="66"/>
      <c r="B131" s="143" t="s">
        <v>904</v>
      </c>
      <c r="C131" s="144"/>
      <c r="D131" s="158"/>
      <c r="E131" s="43">
        <v>342.52</v>
      </c>
      <c r="F131" s="159"/>
      <c r="G131" s="160"/>
      <c r="H131" s="160"/>
      <c r="I131" s="160"/>
      <c r="J131" s="160"/>
      <c r="K131" s="161"/>
      <c r="L131" s="44" t="s">
        <v>71</v>
      </c>
    </row>
    <row r="132" spans="1:12" x14ac:dyDescent="0.25">
      <c r="A132" s="66"/>
      <c r="B132" s="143" t="s">
        <v>1595</v>
      </c>
      <c r="C132" s="144"/>
      <c r="D132" s="158"/>
      <c r="E132" s="43">
        <v>843.16</v>
      </c>
      <c r="F132" s="159"/>
      <c r="G132" s="160"/>
      <c r="H132" s="160"/>
      <c r="I132" s="160"/>
      <c r="J132" s="160"/>
      <c r="K132" s="161"/>
      <c r="L132" s="44" t="s">
        <v>71</v>
      </c>
    </row>
    <row r="133" spans="1:12" x14ac:dyDescent="0.25">
      <c r="A133" s="66"/>
      <c r="B133" s="143" t="s">
        <v>1596</v>
      </c>
      <c r="C133" s="144"/>
      <c r="D133" s="158"/>
      <c r="E133" s="43">
        <v>2588.9499999999998</v>
      </c>
      <c r="F133" s="159"/>
      <c r="G133" s="160"/>
      <c r="H133" s="160"/>
      <c r="I133" s="160"/>
      <c r="J133" s="160"/>
      <c r="K133" s="161"/>
      <c r="L133" s="44" t="s">
        <v>71</v>
      </c>
    </row>
    <row r="134" spans="1:12" x14ac:dyDescent="0.25">
      <c r="A134" s="66"/>
      <c r="B134" s="143" t="s">
        <v>1597</v>
      </c>
      <c r="C134" s="144"/>
      <c r="D134" s="158"/>
      <c r="E134" s="43">
        <v>2844.7</v>
      </c>
      <c r="F134" s="159"/>
      <c r="G134" s="160"/>
      <c r="H134" s="160"/>
      <c r="I134" s="160"/>
      <c r="J134" s="160"/>
      <c r="K134" s="161"/>
      <c r="L134" s="44" t="s">
        <v>71</v>
      </c>
    </row>
    <row r="135" spans="1:12" x14ac:dyDescent="0.25">
      <c r="A135" s="66"/>
      <c r="B135" s="143" t="s">
        <v>788</v>
      </c>
      <c r="C135" s="144"/>
      <c r="D135" s="158"/>
      <c r="E135" s="43">
        <v>512.24</v>
      </c>
      <c r="F135" s="159"/>
      <c r="G135" s="160"/>
      <c r="H135" s="160"/>
      <c r="I135" s="160"/>
      <c r="J135" s="160"/>
      <c r="K135" s="161"/>
      <c r="L135" s="44" t="s">
        <v>71</v>
      </c>
    </row>
    <row r="136" spans="1:12" x14ac:dyDescent="0.25">
      <c r="A136" s="66"/>
      <c r="B136" s="143" t="s">
        <v>1120</v>
      </c>
      <c r="C136" s="144"/>
      <c r="D136" s="158"/>
      <c r="E136" s="43">
        <v>408.98</v>
      </c>
      <c r="F136" s="159"/>
      <c r="G136" s="160"/>
      <c r="H136" s="160"/>
      <c r="I136" s="160"/>
      <c r="J136" s="160"/>
      <c r="K136" s="161"/>
      <c r="L136" s="44" t="s">
        <v>71</v>
      </c>
    </row>
    <row r="137" spans="1:12" x14ac:dyDescent="0.25">
      <c r="A137" s="66"/>
      <c r="B137" s="143" t="s">
        <v>1595</v>
      </c>
      <c r="C137" s="144"/>
      <c r="D137" s="158"/>
      <c r="E137" s="43">
        <v>1053.94</v>
      </c>
      <c r="F137" s="159"/>
      <c r="G137" s="160"/>
      <c r="H137" s="160"/>
      <c r="I137" s="160"/>
      <c r="J137" s="160"/>
      <c r="K137" s="161"/>
      <c r="L137" s="44" t="s">
        <v>71</v>
      </c>
    </row>
    <row r="138" spans="1:12" x14ac:dyDescent="0.25">
      <c r="A138" s="66"/>
      <c r="B138" s="143" t="s">
        <v>889</v>
      </c>
      <c r="C138" s="144"/>
      <c r="D138" s="158"/>
      <c r="E138" s="43">
        <v>559.54999999999995</v>
      </c>
      <c r="F138" s="159"/>
      <c r="G138" s="160"/>
      <c r="H138" s="160"/>
      <c r="I138" s="160"/>
      <c r="J138" s="160"/>
      <c r="K138" s="161"/>
      <c r="L138" s="44" t="s">
        <v>71</v>
      </c>
    </row>
    <row r="139" spans="1:12" x14ac:dyDescent="0.25">
      <c r="A139" s="66"/>
      <c r="B139" s="143" t="s">
        <v>889</v>
      </c>
      <c r="C139" s="144"/>
      <c r="D139" s="158"/>
      <c r="E139" s="43">
        <v>892.14</v>
      </c>
      <c r="F139" s="159"/>
      <c r="G139" s="160"/>
      <c r="H139" s="160"/>
      <c r="I139" s="160"/>
      <c r="J139" s="160"/>
      <c r="K139" s="161"/>
      <c r="L139" s="44" t="s">
        <v>71</v>
      </c>
    </row>
    <row r="140" spans="1:12" x14ac:dyDescent="0.25">
      <c r="A140" s="66"/>
      <c r="B140" s="143" t="s">
        <v>1110</v>
      </c>
      <c r="C140" s="144"/>
      <c r="D140" s="158"/>
      <c r="E140" s="43">
        <v>1019.45</v>
      </c>
      <c r="F140" s="159"/>
      <c r="G140" s="160"/>
      <c r="H140" s="160"/>
      <c r="I140" s="160"/>
      <c r="J140" s="160"/>
      <c r="K140" s="161"/>
      <c r="L140" s="44" t="s">
        <v>71</v>
      </c>
    </row>
    <row r="141" spans="1:12" x14ac:dyDescent="0.25">
      <c r="A141" s="66"/>
      <c r="B141" s="143" t="s">
        <v>782</v>
      </c>
      <c r="C141" s="144"/>
      <c r="D141" s="158"/>
      <c r="E141" s="43">
        <v>256.14</v>
      </c>
      <c r="F141" s="159"/>
      <c r="G141" s="160"/>
      <c r="H141" s="160"/>
      <c r="I141" s="160"/>
      <c r="J141" s="160"/>
      <c r="K141" s="161"/>
      <c r="L141" s="44" t="s">
        <v>71</v>
      </c>
    </row>
    <row r="142" spans="1:12" x14ac:dyDescent="0.25">
      <c r="A142" s="66"/>
      <c r="B142" s="143" t="s">
        <v>1083</v>
      </c>
      <c r="C142" s="144"/>
      <c r="D142" s="158"/>
      <c r="E142" s="43">
        <v>142.03</v>
      </c>
      <c r="F142" s="159"/>
      <c r="G142" s="160"/>
      <c r="H142" s="160"/>
      <c r="I142" s="160"/>
      <c r="J142" s="160"/>
      <c r="K142" s="161"/>
      <c r="L142" s="44" t="s">
        <v>71</v>
      </c>
    </row>
    <row r="143" spans="1:12" x14ac:dyDescent="0.25">
      <c r="A143" s="66"/>
      <c r="B143" s="143" t="s">
        <v>1598</v>
      </c>
      <c r="C143" s="144"/>
      <c r="D143" s="158"/>
      <c r="E143" s="43">
        <v>394.36</v>
      </c>
      <c r="F143" s="159"/>
      <c r="G143" s="160"/>
      <c r="H143" s="160"/>
      <c r="I143" s="160"/>
      <c r="J143" s="160"/>
      <c r="K143" s="161"/>
      <c r="L143" s="44" t="s">
        <v>71</v>
      </c>
    </row>
    <row r="144" spans="1:12" x14ac:dyDescent="0.25">
      <c r="A144" s="66"/>
      <c r="B144" s="143" t="s">
        <v>761</v>
      </c>
      <c r="C144" s="144"/>
      <c r="D144" s="158"/>
      <c r="E144" s="43">
        <v>895.46</v>
      </c>
      <c r="F144" s="159"/>
      <c r="G144" s="160"/>
      <c r="H144" s="160"/>
      <c r="I144" s="160"/>
      <c r="J144" s="160"/>
      <c r="K144" s="161"/>
      <c r="L144" s="44" t="s">
        <v>71</v>
      </c>
    </row>
    <row r="145" spans="1:12" x14ac:dyDescent="0.25">
      <c r="A145" s="66"/>
      <c r="B145" s="143" t="s">
        <v>1584</v>
      </c>
      <c r="C145" s="144"/>
      <c r="D145" s="158"/>
      <c r="E145" s="43">
        <v>546.26</v>
      </c>
      <c r="F145" s="159"/>
      <c r="G145" s="160"/>
      <c r="H145" s="160"/>
      <c r="I145" s="160"/>
      <c r="J145" s="160"/>
      <c r="K145" s="161"/>
      <c r="L145" s="44" t="s">
        <v>71</v>
      </c>
    </row>
    <row r="146" spans="1:12" x14ac:dyDescent="0.25">
      <c r="A146" s="66"/>
      <c r="B146" s="143" t="s">
        <v>556</v>
      </c>
      <c r="C146" s="144"/>
      <c r="D146" s="158"/>
      <c r="E146" s="43">
        <v>994.33</v>
      </c>
      <c r="F146" s="159"/>
      <c r="G146" s="160"/>
      <c r="H146" s="160"/>
      <c r="I146" s="160"/>
      <c r="J146" s="160"/>
      <c r="K146" s="161"/>
      <c r="L146" s="44" t="s">
        <v>71</v>
      </c>
    </row>
    <row r="147" spans="1:12" x14ac:dyDescent="0.25">
      <c r="A147" s="66"/>
      <c r="B147" s="143" t="s">
        <v>727</v>
      </c>
      <c r="C147" s="144"/>
      <c r="D147" s="158"/>
      <c r="E147" s="43">
        <v>6705.09</v>
      </c>
      <c r="F147" s="159"/>
      <c r="G147" s="160"/>
      <c r="H147" s="160"/>
      <c r="I147" s="160"/>
      <c r="J147" s="160"/>
      <c r="K147" s="161"/>
      <c r="L147" s="44" t="s">
        <v>71</v>
      </c>
    </row>
    <row r="148" spans="1:12" x14ac:dyDescent="0.25">
      <c r="A148" s="66"/>
      <c r="B148" s="143" t="s">
        <v>889</v>
      </c>
      <c r="C148" s="144"/>
      <c r="D148" s="158"/>
      <c r="E148" s="43">
        <v>1121.67</v>
      </c>
      <c r="F148" s="159"/>
      <c r="G148" s="160"/>
      <c r="H148" s="160"/>
      <c r="I148" s="160"/>
      <c r="J148" s="160"/>
      <c r="K148" s="161"/>
      <c r="L148" s="44" t="s">
        <v>71</v>
      </c>
    </row>
    <row r="149" spans="1:12" x14ac:dyDescent="0.25">
      <c r="A149" s="66"/>
      <c r="B149" s="143" t="s">
        <v>1505</v>
      </c>
      <c r="C149" s="144"/>
      <c r="D149" s="158"/>
      <c r="E149" s="43">
        <v>329.74</v>
      </c>
      <c r="F149" s="159"/>
      <c r="G149" s="160"/>
      <c r="H149" s="160"/>
      <c r="I149" s="160"/>
      <c r="J149" s="160"/>
      <c r="K149" s="161"/>
      <c r="L149" s="44" t="s">
        <v>71</v>
      </c>
    </row>
    <row r="150" spans="1:12" x14ac:dyDescent="0.25">
      <c r="A150" s="66"/>
      <c r="B150" s="143" t="s">
        <v>933</v>
      </c>
      <c r="C150" s="144"/>
      <c r="D150" s="158"/>
      <c r="E150" s="43">
        <v>569.49</v>
      </c>
      <c r="F150" s="159"/>
      <c r="G150" s="160"/>
      <c r="H150" s="160"/>
      <c r="I150" s="160"/>
      <c r="J150" s="160"/>
      <c r="K150" s="161"/>
      <c r="L150" s="44" t="s">
        <v>71</v>
      </c>
    </row>
    <row r="151" spans="1:12" x14ac:dyDescent="0.25">
      <c r="A151" s="66"/>
      <c r="B151" s="143" t="s">
        <v>1599</v>
      </c>
      <c r="C151" s="144"/>
      <c r="D151" s="158"/>
      <c r="E151" s="43">
        <v>5943.16</v>
      </c>
      <c r="F151" s="159"/>
      <c r="G151" s="160"/>
      <c r="H151" s="160"/>
      <c r="I151" s="160"/>
      <c r="J151" s="160"/>
      <c r="K151" s="161"/>
      <c r="L151" s="44" t="s">
        <v>71</v>
      </c>
    </row>
    <row r="152" spans="1:12" x14ac:dyDescent="0.25">
      <c r="A152" s="66"/>
      <c r="B152" s="143" t="s">
        <v>1584</v>
      </c>
      <c r="C152" s="144"/>
      <c r="D152" s="158"/>
      <c r="E152" s="43">
        <v>42.67</v>
      </c>
      <c r="F152" s="159"/>
      <c r="G152" s="160"/>
      <c r="H152" s="160"/>
      <c r="I152" s="160"/>
      <c r="J152" s="160"/>
      <c r="K152" s="161"/>
      <c r="L152" s="44" t="s">
        <v>71</v>
      </c>
    </row>
    <row r="153" spans="1:12" x14ac:dyDescent="0.25">
      <c r="A153" s="66"/>
      <c r="B153" s="143" t="s">
        <v>889</v>
      </c>
      <c r="C153" s="144"/>
      <c r="D153" s="158"/>
      <c r="E153" s="43">
        <v>393.78</v>
      </c>
      <c r="F153" s="159"/>
      <c r="G153" s="160"/>
      <c r="H153" s="160"/>
      <c r="I153" s="160"/>
      <c r="J153" s="160"/>
      <c r="K153" s="161"/>
      <c r="L153" s="44" t="s">
        <v>71</v>
      </c>
    </row>
    <row r="154" spans="1:12" x14ac:dyDescent="0.25">
      <c r="A154" s="66"/>
      <c r="B154" s="143" t="s">
        <v>1600</v>
      </c>
      <c r="C154" s="144"/>
      <c r="D154" s="158"/>
      <c r="E154" s="43">
        <v>2005.02</v>
      </c>
      <c r="F154" s="159"/>
      <c r="G154" s="160"/>
      <c r="H154" s="160"/>
      <c r="I154" s="160"/>
      <c r="J154" s="160"/>
      <c r="K154" s="161"/>
      <c r="L154" s="44" t="s">
        <v>71</v>
      </c>
    </row>
    <row r="155" spans="1:12" x14ac:dyDescent="0.25">
      <c r="A155" s="66"/>
      <c r="B155" s="143" t="s">
        <v>654</v>
      </c>
      <c r="C155" s="144"/>
      <c r="D155" s="158"/>
      <c r="E155" s="43">
        <v>2016</v>
      </c>
      <c r="F155" s="159"/>
      <c r="G155" s="160"/>
      <c r="H155" s="160"/>
      <c r="I155" s="160"/>
      <c r="J155" s="160"/>
      <c r="K155" s="161"/>
      <c r="L155" s="44" t="s">
        <v>71</v>
      </c>
    </row>
    <row r="156" spans="1:12" x14ac:dyDescent="0.25">
      <c r="A156" s="66"/>
      <c r="B156" s="143" t="s">
        <v>651</v>
      </c>
      <c r="C156" s="144"/>
      <c r="D156" s="158"/>
      <c r="E156" s="43">
        <v>479.35</v>
      </c>
      <c r="F156" s="159"/>
      <c r="G156" s="160"/>
      <c r="H156" s="160"/>
      <c r="I156" s="160"/>
      <c r="J156" s="160"/>
      <c r="K156" s="161"/>
      <c r="L156" s="44" t="s">
        <v>71</v>
      </c>
    </row>
    <row r="157" spans="1:12" x14ac:dyDescent="0.25">
      <c r="A157" s="66"/>
      <c r="B157" s="143" t="s">
        <v>742</v>
      </c>
      <c r="C157" s="144"/>
      <c r="D157" s="158"/>
      <c r="E157" s="43">
        <v>6221.86</v>
      </c>
      <c r="F157" s="159"/>
      <c r="G157" s="160"/>
      <c r="H157" s="160"/>
      <c r="I157" s="160"/>
      <c r="J157" s="160"/>
      <c r="K157" s="161"/>
      <c r="L157" s="44" t="s">
        <v>71</v>
      </c>
    </row>
    <row r="158" spans="1:12" x14ac:dyDescent="0.25">
      <c r="A158" s="66"/>
      <c r="B158" s="143" t="s">
        <v>742</v>
      </c>
      <c r="C158" s="144"/>
      <c r="D158" s="158"/>
      <c r="E158" s="43">
        <v>1409.84</v>
      </c>
      <c r="F158" s="159"/>
      <c r="G158" s="160"/>
      <c r="H158" s="160"/>
      <c r="I158" s="160"/>
      <c r="J158" s="160"/>
      <c r="K158" s="161"/>
      <c r="L158" s="44" t="s">
        <v>71</v>
      </c>
    </row>
    <row r="159" spans="1:12" x14ac:dyDescent="0.25">
      <c r="A159" s="66"/>
      <c r="B159" s="143" t="s">
        <v>889</v>
      </c>
      <c r="C159" s="144"/>
      <c r="D159" s="158"/>
      <c r="E159" s="43">
        <v>1055.99</v>
      </c>
      <c r="F159" s="159"/>
      <c r="G159" s="160"/>
      <c r="H159" s="160"/>
      <c r="I159" s="160"/>
      <c r="J159" s="160"/>
      <c r="K159" s="161"/>
      <c r="L159" s="44" t="s">
        <v>71</v>
      </c>
    </row>
    <row r="160" spans="1:12" x14ac:dyDescent="0.25">
      <c r="A160" s="66"/>
      <c r="B160" s="143" t="s">
        <v>736</v>
      </c>
      <c r="C160" s="144"/>
      <c r="D160" s="158"/>
      <c r="E160" s="43">
        <v>537.21</v>
      </c>
      <c r="F160" s="159"/>
      <c r="G160" s="160"/>
      <c r="H160" s="160"/>
      <c r="I160" s="160"/>
      <c r="J160" s="160"/>
      <c r="K160" s="161"/>
      <c r="L160" s="44" t="s">
        <v>71</v>
      </c>
    </row>
    <row r="161" spans="1:12" x14ac:dyDescent="0.25">
      <c r="A161" s="66"/>
      <c r="B161" s="143" t="s">
        <v>771</v>
      </c>
      <c r="C161" s="144"/>
      <c r="D161" s="158"/>
      <c r="E161" s="43">
        <v>403.16</v>
      </c>
      <c r="F161" s="159"/>
      <c r="G161" s="160"/>
      <c r="H161" s="160"/>
      <c r="I161" s="160"/>
      <c r="J161" s="160"/>
      <c r="K161" s="161"/>
      <c r="L161" s="44" t="s">
        <v>71</v>
      </c>
    </row>
    <row r="162" spans="1:12" x14ac:dyDescent="0.25">
      <c r="A162" s="66"/>
      <c r="B162" s="143" t="s">
        <v>1601</v>
      </c>
      <c r="C162" s="144"/>
      <c r="D162" s="158"/>
      <c r="E162" s="43">
        <v>4037.91</v>
      </c>
      <c r="F162" s="159"/>
      <c r="G162" s="160"/>
      <c r="H162" s="160"/>
      <c r="I162" s="160"/>
      <c r="J162" s="160"/>
      <c r="K162" s="161"/>
      <c r="L162" s="44" t="s">
        <v>71</v>
      </c>
    </row>
    <row r="163" spans="1:12" x14ac:dyDescent="0.25">
      <c r="A163" s="66"/>
      <c r="B163" s="143" t="s">
        <v>1602</v>
      </c>
      <c r="C163" s="144"/>
      <c r="D163" s="158"/>
      <c r="E163" s="43">
        <v>7089.92</v>
      </c>
      <c r="F163" s="159"/>
      <c r="G163" s="160"/>
      <c r="H163" s="160"/>
      <c r="I163" s="160"/>
      <c r="J163" s="160"/>
      <c r="K163" s="161"/>
      <c r="L163" s="44" t="s">
        <v>71</v>
      </c>
    </row>
    <row r="164" spans="1:12" x14ac:dyDescent="0.25">
      <c r="A164" s="66"/>
      <c r="B164" s="143" t="s">
        <v>945</v>
      </c>
      <c r="C164" s="144"/>
      <c r="D164" s="158"/>
      <c r="E164" s="43">
        <v>1113.6199999999999</v>
      </c>
      <c r="F164" s="159"/>
      <c r="G164" s="160"/>
      <c r="H164" s="160"/>
      <c r="I164" s="160"/>
      <c r="J164" s="160"/>
      <c r="K164" s="161"/>
      <c r="L164" s="44" t="s">
        <v>71</v>
      </c>
    </row>
    <row r="165" spans="1:12" x14ac:dyDescent="0.25">
      <c r="A165" s="66"/>
      <c r="B165" s="143" t="s">
        <v>1603</v>
      </c>
      <c r="C165" s="144"/>
      <c r="D165" s="158"/>
      <c r="E165" s="43">
        <v>3648.08</v>
      </c>
      <c r="F165" s="159"/>
      <c r="G165" s="160"/>
      <c r="H165" s="160"/>
      <c r="I165" s="160"/>
      <c r="J165" s="160"/>
      <c r="K165" s="161"/>
      <c r="L165" s="44" t="s">
        <v>71</v>
      </c>
    </row>
    <row r="166" spans="1:12" x14ac:dyDescent="0.25">
      <c r="A166" s="66"/>
      <c r="B166" s="143" t="s">
        <v>1115</v>
      </c>
      <c r="C166" s="144"/>
      <c r="D166" s="158"/>
      <c r="E166" s="43">
        <v>239.77</v>
      </c>
      <c r="F166" s="159"/>
      <c r="G166" s="160"/>
      <c r="H166" s="160"/>
      <c r="I166" s="160"/>
      <c r="J166" s="160"/>
      <c r="K166" s="161"/>
      <c r="L166" s="44" t="s">
        <v>71</v>
      </c>
    </row>
    <row r="167" spans="1:12" x14ac:dyDescent="0.25">
      <c r="A167" s="66"/>
      <c r="B167" s="143" t="s">
        <v>214</v>
      </c>
      <c r="C167" s="144"/>
      <c r="D167" s="158"/>
      <c r="E167" s="43">
        <v>268.77999999999997</v>
      </c>
      <c r="F167" s="159"/>
      <c r="G167" s="160"/>
      <c r="H167" s="160"/>
      <c r="I167" s="160"/>
      <c r="J167" s="160"/>
      <c r="K167" s="161"/>
      <c r="L167" s="44" t="s">
        <v>71</v>
      </c>
    </row>
    <row r="168" spans="1:12" x14ac:dyDescent="0.25">
      <c r="A168" s="66"/>
      <c r="B168" s="143" t="s">
        <v>927</v>
      </c>
      <c r="C168" s="144"/>
      <c r="D168" s="158"/>
      <c r="E168" s="43">
        <v>353.9</v>
      </c>
      <c r="F168" s="159"/>
      <c r="G168" s="160"/>
      <c r="H168" s="160"/>
      <c r="I168" s="160"/>
      <c r="J168" s="160"/>
      <c r="K168" s="161"/>
      <c r="L168" s="44" t="s">
        <v>71</v>
      </c>
    </row>
    <row r="169" spans="1:12" x14ac:dyDescent="0.25">
      <c r="A169" s="66"/>
      <c r="B169" s="143" t="s">
        <v>1604</v>
      </c>
      <c r="C169" s="144"/>
      <c r="D169" s="158"/>
      <c r="E169" s="43">
        <v>6003.03</v>
      </c>
      <c r="F169" s="159"/>
      <c r="G169" s="160"/>
      <c r="H169" s="160"/>
      <c r="I169" s="160"/>
      <c r="J169" s="160"/>
      <c r="K169" s="161"/>
      <c r="L169" s="44" t="s">
        <v>71</v>
      </c>
    </row>
    <row r="170" spans="1:12" x14ac:dyDescent="0.25">
      <c r="A170" s="66"/>
      <c r="B170" s="143" t="s">
        <v>1584</v>
      </c>
      <c r="C170" s="144"/>
      <c r="D170" s="158"/>
      <c r="E170" s="43">
        <v>317.92</v>
      </c>
      <c r="F170" s="159"/>
      <c r="G170" s="160"/>
      <c r="H170" s="160"/>
      <c r="I170" s="160"/>
      <c r="J170" s="160"/>
      <c r="K170" s="161"/>
      <c r="L170" s="44" t="s">
        <v>71</v>
      </c>
    </row>
    <row r="171" spans="1:12" x14ac:dyDescent="0.25">
      <c r="A171" s="66"/>
      <c r="B171" s="143" t="s">
        <v>758</v>
      </c>
      <c r="C171" s="144"/>
      <c r="D171" s="158"/>
      <c r="E171" s="43">
        <v>9926.5</v>
      </c>
      <c r="F171" s="159"/>
      <c r="G171" s="160"/>
      <c r="H171" s="160"/>
      <c r="I171" s="160"/>
      <c r="J171" s="160"/>
      <c r="K171" s="161"/>
      <c r="L171" s="44" t="s">
        <v>71</v>
      </c>
    </row>
    <row r="172" spans="1:12" x14ac:dyDescent="0.25">
      <c r="A172" s="66"/>
      <c r="B172" s="143" t="s">
        <v>941</v>
      </c>
      <c r="C172" s="144"/>
      <c r="D172" s="158"/>
      <c r="E172" s="43">
        <v>151.32</v>
      </c>
      <c r="F172" s="159"/>
      <c r="G172" s="160"/>
      <c r="H172" s="160"/>
      <c r="I172" s="160"/>
      <c r="J172" s="160"/>
      <c r="K172" s="161"/>
      <c r="L172" s="44" t="s">
        <v>71</v>
      </c>
    </row>
    <row r="173" spans="1:12" x14ac:dyDescent="0.25">
      <c r="A173" s="66"/>
      <c r="B173" s="143" t="s">
        <v>1605</v>
      </c>
      <c r="C173" s="144"/>
      <c r="D173" s="158"/>
      <c r="E173" s="43">
        <v>636</v>
      </c>
      <c r="F173" s="159"/>
      <c r="G173" s="160"/>
      <c r="H173" s="160"/>
      <c r="I173" s="160"/>
      <c r="J173" s="160"/>
      <c r="K173" s="161"/>
      <c r="L173" s="44" t="s">
        <v>71</v>
      </c>
    </row>
    <row r="174" spans="1:12" x14ac:dyDescent="0.25">
      <c r="A174" s="66"/>
      <c r="B174" s="143" t="s">
        <v>1115</v>
      </c>
      <c r="C174" s="144"/>
      <c r="D174" s="158"/>
      <c r="E174" s="43">
        <v>574.54999999999995</v>
      </c>
      <c r="F174" s="159"/>
      <c r="G174" s="160"/>
      <c r="H174" s="160"/>
      <c r="I174" s="160"/>
      <c r="J174" s="160"/>
      <c r="K174" s="161"/>
      <c r="L174" s="44" t="s">
        <v>71</v>
      </c>
    </row>
    <row r="175" spans="1:12" x14ac:dyDescent="0.25">
      <c r="A175" s="66"/>
      <c r="B175" s="143" t="s">
        <v>877</v>
      </c>
      <c r="C175" s="144"/>
      <c r="D175" s="158"/>
      <c r="E175" s="43">
        <v>697.5</v>
      </c>
      <c r="F175" s="159"/>
      <c r="G175" s="160"/>
      <c r="H175" s="160"/>
      <c r="I175" s="160"/>
      <c r="J175" s="160"/>
      <c r="K175" s="161"/>
      <c r="L175" s="44" t="s">
        <v>71</v>
      </c>
    </row>
    <row r="176" spans="1:12" x14ac:dyDescent="0.25">
      <c r="A176" s="66"/>
      <c r="B176" s="143" t="s">
        <v>779</v>
      </c>
      <c r="C176" s="144"/>
      <c r="D176" s="158"/>
      <c r="E176" s="43">
        <v>464.82</v>
      </c>
      <c r="F176" s="159"/>
      <c r="G176" s="160"/>
      <c r="H176" s="160"/>
      <c r="I176" s="160"/>
      <c r="J176" s="160"/>
      <c r="K176" s="161"/>
      <c r="L176" s="44" t="s">
        <v>71</v>
      </c>
    </row>
    <row r="177" spans="1:12" x14ac:dyDescent="0.25">
      <c r="A177" s="66"/>
      <c r="B177" s="143" t="s">
        <v>954</v>
      </c>
      <c r="C177" s="144"/>
      <c r="D177" s="158"/>
      <c r="E177" s="43">
        <v>587.85</v>
      </c>
      <c r="F177" s="159"/>
      <c r="G177" s="160"/>
      <c r="H177" s="160"/>
      <c r="I177" s="160"/>
      <c r="J177" s="160"/>
      <c r="K177" s="161"/>
      <c r="L177" s="44" t="s">
        <v>71</v>
      </c>
    </row>
    <row r="178" spans="1:12" x14ac:dyDescent="0.25">
      <c r="A178" s="66"/>
      <c r="B178" s="143" t="s">
        <v>895</v>
      </c>
      <c r="C178" s="144"/>
      <c r="D178" s="158"/>
      <c r="E178" s="43">
        <v>184.45</v>
      </c>
      <c r="F178" s="159"/>
      <c r="G178" s="160"/>
      <c r="H178" s="160"/>
      <c r="I178" s="160"/>
      <c r="J178" s="160"/>
      <c r="K178" s="161"/>
      <c r="L178" s="44" t="s">
        <v>71</v>
      </c>
    </row>
    <row r="179" spans="1:12" x14ac:dyDescent="0.25">
      <c r="A179" s="66"/>
      <c r="B179" s="143" t="s">
        <v>933</v>
      </c>
      <c r="C179" s="144"/>
      <c r="D179" s="158"/>
      <c r="E179" s="43">
        <v>1927.32</v>
      </c>
      <c r="F179" s="159"/>
      <c r="G179" s="160"/>
      <c r="H179" s="160"/>
      <c r="I179" s="160"/>
      <c r="J179" s="160"/>
      <c r="K179" s="161"/>
      <c r="L179" s="44" t="s">
        <v>71</v>
      </c>
    </row>
    <row r="180" spans="1:12" x14ac:dyDescent="0.25">
      <c r="A180" s="66"/>
      <c r="B180" s="143" t="s">
        <v>654</v>
      </c>
      <c r="C180" s="144"/>
      <c r="D180" s="158"/>
      <c r="E180" s="43">
        <v>2427.4299999999998</v>
      </c>
      <c r="F180" s="159"/>
      <c r="G180" s="160"/>
      <c r="H180" s="160"/>
      <c r="I180" s="160"/>
      <c r="J180" s="160"/>
      <c r="K180" s="161"/>
      <c r="L180" s="44" t="s">
        <v>71</v>
      </c>
    </row>
    <row r="181" spans="1:12" x14ac:dyDescent="0.25">
      <c r="A181" s="66"/>
      <c r="B181" s="143" t="s">
        <v>654</v>
      </c>
      <c r="C181" s="144"/>
      <c r="D181" s="158"/>
      <c r="E181" s="43">
        <v>1726.45</v>
      </c>
      <c r="F181" s="159"/>
      <c r="G181" s="160"/>
      <c r="H181" s="160"/>
      <c r="I181" s="160"/>
      <c r="J181" s="160"/>
      <c r="K181" s="161"/>
      <c r="L181" s="44" t="s">
        <v>71</v>
      </c>
    </row>
    <row r="182" spans="1:12" x14ac:dyDescent="0.25">
      <c r="A182" s="66"/>
      <c r="B182" s="143" t="s">
        <v>746</v>
      </c>
      <c r="C182" s="144"/>
      <c r="D182" s="158"/>
      <c r="E182" s="43">
        <v>335.95</v>
      </c>
      <c r="F182" s="159"/>
      <c r="G182" s="160"/>
      <c r="H182" s="160"/>
      <c r="I182" s="160"/>
      <c r="J182" s="160"/>
      <c r="K182" s="161"/>
      <c r="L182" s="44" t="s">
        <v>71</v>
      </c>
    </row>
    <row r="183" spans="1:12" x14ac:dyDescent="0.25">
      <c r="A183" s="66"/>
      <c r="B183" s="143" t="s">
        <v>763</v>
      </c>
      <c r="C183" s="144"/>
      <c r="D183" s="158"/>
      <c r="E183" s="43">
        <v>524.26</v>
      </c>
      <c r="F183" s="159"/>
      <c r="G183" s="160"/>
      <c r="H183" s="160"/>
      <c r="I183" s="160"/>
      <c r="J183" s="160"/>
      <c r="K183" s="161"/>
      <c r="L183" s="44" t="s">
        <v>71</v>
      </c>
    </row>
    <row r="184" spans="1:12" x14ac:dyDescent="0.25">
      <c r="A184" s="66"/>
      <c r="B184" s="143" t="s">
        <v>764</v>
      </c>
      <c r="C184" s="144"/>
      <c r="D184" s="158"/>
      <c r="E184" s="43">
        <v>384.94</v>
      </c>
      <c r="F184" s="159"/>
      <c r="G184" s="160"/>
      <c r="H184" s="160"/>
      <c r="I184" s="160"/>
      <c r="J184" s="160"/>
      <c r="K184" s="161"/>
      <c r="L184" s="44" t="s">
        <v>71</v>
      </c>
    </row>
    <row r="185" spans="1:12" x14ac:dyDescent="0.25">
      <c r="A185" s="66"/>
      <c r="B185" s="143" t="s">
        <v>1606</v>
      </c>
      <c r="C185" s="144"/>
      <c r="D185" s="158"/>
      <c r="E185" s="43">
        <v>2146.8200000000002</v>
      </c>
      <c r="F185" s="159"/>
      <c r="G185" s="160"/>
      <c r="H185" s="160"/>
      <c r="I185" s="160"/>
      <c r="J185" s="160"/>
      <c r="K185" s="161"/>
      <c r="L185" s="44" t="s">
        <v>71</v>
      </c>
    </row>
    <row r="186" spans="1:12" x14ac:dyDescent="0.25">
      <c r="A186" s="66"/>
      <c r="B186" s="143" t="s">
        <v>1607</v>
      </c>
      <c r="C186" s="144"/>
      <c r="D186" s="158"/>
      <c r="E186" s="43">
        <v>2211.0500000000002</v>
      </c>
      <c r="F186" s="159"/>
      <c r="G186" s="160"/>
      <c r="H186" s="160"/>
      <c r="I186" s="160"/>
      <c r="J186" s="160"/>
      <c r="K186" s="161"/>
      <c r="L186" s="44" t="s">
        <v>71</v>
      </c>
    </row>
    <row r="187" spans="1:12" x14ac:dyDescent="0.25">
      <c r="A187" s="66"/>
      <c r="B187" s="143" t="s">
        <v>1608</v>
      </c>
      <c r="C187" s="144"/>
      <c r="D187" s="158"/>
      <c r="E187" s="43">
        <v>3164.37</v>
      </c>
      <c r="F187" s="159"/>
      <c r="G187" s="160"/>
      <c r="H187" s="160"/>
      <c r="I187" s="160"/>
      <c r="J187" s="160"/>
      <c r="K187" s="161"/>
      <c r="L187" s="44" t="s">
        <v>71</v>
      </c>
    </row>
    <row r="188" spans="1:12" x14ac:dyDescent="0.25">
      <c r="A188" s="66"/>
      <c r="B188" s="143" t="s">
        <v>556</v>
      </c>
      <c r="C188" s="144"/>
      <c r="D188" s="158"/>
      <c r="E188" s="43">
        <v>1522.11</v>
      </c>
      <c r="F188" s="159"/>
      <c r="G188" s="160"/>
      <c r="H188" s="160"/>
      <c r="I188" s="160"/>
      <c r="J188" s="160"/>
      <c r="K188" s="161"/>
      <c r="L188" s="44" t="s">
        <v>71</v>
      </c>
    </row>
    <row r="189" spans="1:12" x14ac:dyDescent="0.25">
      <c r="A189" s="66"/>
      <c r="B189" s="143" t="s">
        <v>1534</v>
      </c>
      <c r="C189" s="144"/>
      <c r="D189" s="158"/>
      <c r="E189" s="43">
        <v>474.49</v>
      </c>
      <c r="F189" s="159"/>
      <c r="G189" s="160"/>
      <c r="H189" s="160"/>
      <c r="I189" s="160"/>
      <c r="J189" s="160"/>
      <c r="K189" s="161"/>
      <c r="L189" s="44" t="s">
        <v>71</v>
      </c>
    </row>
    <row r="190" spans="1:12" x14ac:dyDescent="0.25">
      <c r="A190" s="66"/>
      <c r="B190" s="143" t="s">
        <v>736</v>
      </c>
      <c r="C190" s="144"/>
      <c r="D190" s="158"/>
      <c r="E190" s="43">
        <v>484.56</v>
      </c>
      <c r="F190" s="159"/>
      <c r="G190" s="160"/>
      <c r="H190" s="160"/>
      <c r="I190" s="160"/>
      <c r="J190" s="160"/>
      <c r="K190" s="161"/>
      <c r="L190" s="44" t="s">
        <v>71</v>
      </c>
    </row>
    <row r="191" spans="1:12" x14ac:dyDescent="0.25">
      <c r="A191" s="66"/>
      <c r="B191" s="143" t="s">
        <v>1609</v>
      </c>
      <c r="C191" s="144"/>
      <c r="D191" s="158"/>
      <c r="E191" s="43">
        <v>1580.39</v>
      </c>
      <c r="F191" s="159"/>
      <c r="G191" s="160"/>
      <c r="H191" s="160"/>
      <c r="I191" s="160"/>
      <c r="J191" s="160"/>
      <c r="K191" s="161"/>
      <c r="L191" s="44" t="s">
        <v>71</v>
      </c>
    </row>
    <row r="192" spans="1:12" x14ac:dyDescent="0.25">
      <c r="A192" s="66"/>
      <c r="B192" s="143" t="s">
        <v>1610</v>
      </c>
      <c r="C192" s="144"/>
      <c r="D192" s="158"/>
      <c r="E192" s="43">
        <v>4077.24</v>
      </c>
      <c r="F192" s="159"/>
      <c r="G192" s="160"/>
      <c r="H192" s="160"/>
      <c r="I192" s="160"/>
      <c r="J192" s="160"/>
      <c r="K192" s="161"/>
      <c r="L192" s="44" t="s">
        <v>71</v>
      </c>
    </row>
    <row r="193" spans="1:12" x14ac:dyDescent="0.25">
      <c r="A193" s="66"/>
      <c r="B193" s="143" t="s">
        <v>726</v>
      </c>
      <c r="C193" s="144"/>
      <c r="D193" s="158"/>
      <c r="E193" s="43">
        <v>521.96</v>
      </c>
      <c r="F193" s="159"/>
      <c r="G193" s="160"/>
      <c r="H193" s="160"/>
      <c r="I193" s="160"/>
      <c r="J193" s="160"/>
      <c r="K193" s="161"/>
      <c r="L193" s="44" t="s">
        <v>71</v>
      </c>
    </row>
    <row r="194" spans="1:12" x14ac:dyDescent="0.25">
      <c r="A194" s="66"/>
      <c r="B194" s="143" t="s">
        <v>893</v>
      </c>
      <c r="C194" s="144"/>
      <c r="D194" s="158"/>
      <c r="E194" s="43">
        <v>9043.67</v>
      </c>
      <c r="F194" s="159"/>
      <c r="G194" s="160"/>
      <c r="H194" s="160"/>
      <c r="I194" s="160"/>
      <c r="J194" s="160"/>
      <c r="K194" s="161"/>
      <c r="L194" s="44" t="s">
        <v>71</v>
      </c>
    </row>
    <row r="195" spans="1:12" x14ac:dyDescent="0.25">
      <c r="A195" s="66"/>
      <c r="B195" s="143" t="s">
        <v>752</v>
      </c>
      <c r="C195" s="144"/>
      <c r="D195" s="158"/>
      <c r="E195" s="43">
        <v>1005.44</v>
      </c>
      <c r="F195" s="159"/>
      <c r="G195" s="160"/>
      <c r="H195" s="160"/>
      <c r="I195" s="160"/>
      <c r="J195" s="160"/>
      <c r="K195" s="161"/>
      <c r="L195" s="44" t="s">
        <v>71</v>
      </c>
    </row>
    <row r="196" spans="1:12" x14ac:dyDescent="0.25">
      <c r="A196" s="66"/>
      <c r="B196" s="143" t="s">
        <v>1609</v>
      </c>
      <c r="C196" s="144"/>
      <c r="D196" s="158"/>
      <c r="E196" s="43">
        <v>237.06</v>
      </c>
      <c r="F196" s="159"/>
      <c r="G196" s="160"/>
      <c r="H196" s="160"/>
      <c r="I196" s="160"/>
      <c r="J196" s="160"/>
      <c r="K196" s="161"/>
      <c r="L196" s="44" t="s">
        <v>71</v>
      </c>
    </row>
    <row r="197" spans="1:12" x14ac:dyDescent="0.25">
      <c r="A197" s="66"/>
      <c r="B197" s="143" t="s">
        <v>1611</v>
      </c>
      <c r="C197" s="144"/>
      <c r="D197" s="158"/>
      <c r="E197" s="43">
        <v>1634.5</v>
      </c>
      <c r="F197" s="159"/>
      <c r="G197" s="160"/>
      <c r="H197" s="160"/>
      <c r="I197" s="160"/>
      <c r="J197" s="160"/>
      <c r="K197" s="161"/>
      <c r="L197" s="44" t="s">
        <v>71</v>
      </c>
    </row>
    <row r="198" spans="1:12" x14ac:dyDescent="0.25">
      <c r="A198" s="66"/>
      <c r="B198" s="143" t="s">
        <v>901</v>
      </c>
      <c r="C198" s="144"/>
      <c r="D198" s="158"/>
      <c r="E198" s="43">
        <v>401.62</v>
      </c>
      <c r="F198" s="159"/>
      <c r="G198" s="160"/>
      <c r="H198" s="160"/>
      <c r="I198" s="160"/>
      <c r="J198" s="160"/>
      <c r="K198" s="161"/>
      <c r="L198" s="44" t="s">
        <v>71</v>
      </c>
    </row>
    <row r="199" spans="1:12" x14ac:dyDescent="0.25">
      <c r="A199" s="66"/>
      <c r="B199" s="143" t="s">
        <v>751</v>
      </c>
      <c r="C199" s="144"/>
      <c r="D199" s="158"/>
      <c r="E199" s="43">
        <v>2430.86</v>
      </c>
      <c r="F199" s="159"/>
      <c r="G199" s="160"/>
      <c r="H199" s="160"/>
      <c r="I199" s="160"/>
      <c r="J199" s="160"/>
      <c r="K199" s="161"/>
      <c r="L199" s="44" t="s">
        <v>71</v>
      </c>
    </row>
    <row r="200" spans="1:12" x14ac:dyDescent="0.25">
      <c r="A200" s="66"/>
      <c r="B200" s="143" t="s">
        <v>654</v>
      </c>
      <c r="C200" s="144"/>
      <c r="D200" s="158"/>
      <c r="E200" s="43">
        <v>1499.43</v>
      </c>
      <c r="F200" s="159"/>
      <c r="G200" s="160"/>
      <c r="H200" s="160"/>
      <c r="I200" s="160"/>
      <c r="J200" s="160"/>
      <c r="K200" s="161"/>
      <c r="L200" s="44" t="s">
        <v>71</v>
      </c>
    </row>
    <row r="201" spans="1:12" x14ac:dyDescent="0.25">
      <c r="A201" s="66"/>
      <c r="B201" s="143" t="s">
        <v>891</v>
      </c>
      <c r="C201" s="144"/>
      <c r="D201" s="158"/>
      <c r="E201" s="43">
        <v>307.24</v>
      </c>
      <c r="F201" s="159"/>
      <c r="G201" s="160"/>
      <c r="H201" s="160"/>
      <c r="I201" s="160"/>
      <c r="J201" s="160"/>
      <c r="K201" s="161"/>
      <c r="L201" s="44" t="s">
        <v>71</v>
      </c>
    </row>
    <row r="202" spans="1:12" x14ac:dyDescent="0.25">
      <c r="A202" s="66"/>
      <c r="B202" s="143" t="s">
        <v>1612</v>
      </c>
      <c r="C202" s="144"/>
      <c r="D202" s="158"/>
      <c r="E202" s="43">
        <v>3339.45</v>
      </c>
      <c r="F202" s="159"/>
      <c r="G202" s="160"/>
      <c r="H202" s="160"/>
      <c r="I202" s="160"/>
      <c r="J202" s="160"/>
      <c r="K202" s="161"/>
      <c r="L202" s="44" t="s">
        <v>71</v>
      </c>
    </row>
    <row r="203" spans="1:12" x14ac:dyDescent="0.25">
      <c r="A203" s="66"/>
      <c r="B203" s="143" t="s">
        <v>164</v>
      </c>
      <c r="C203" s="144"/>
      <c r="D203" s="158"/>
      <c r="E203" s="43">
        <v>6154.94</v>
      </c>
      <c r="F203" s="159"/>
      <c r="G203" s="160"/>
      <c r="H203" s="160"/>
      <c r="I203" s="160"/>
      <c r="J203" s="160"/>
      <c r="K203" s="161"/>
      <c r="L203" s="44" t="s">
        <v>71</v>
      </c>
    </row>
    <row r="204" spans="1:12" x14ac:dyDescent="0.25">
      <c r="A204" s="66"/>
      <c r="B204" s="143" t="s">
        <v>751</v>
      </c>
      <c r="C204" s="144"/>
      <c r="D204" s="158"/>
      <c r="E204" s="43">
        <v>2026.74</v>
      </c>
      <c r="F204" s="159"/>
      <c r="G204" s="160"/>
      <c r="H204" s="160"/>
      <c r="I204" s="160"/>
      <c r="J204" s="160"/>
      <c r="K204" s="161"/>
      <c r="L204" s="44" t="s">
        <v>71</v>
      </c>
    </row>
    <row r="205" spans="1:12" x14ac:dyDescent="0.25">
      <c r="A205" s="67"/>
      <c r="B205" s="143" t="s">
        <v>1616</v>
      </c>
      <c r="C205" s="144" t="s">
        <v>1614</v>
      </c>
      <c r="D205" s="158" t="s">
        <v>1614</v>
      </c>
      <c r="E205" s="43">
        <v>263.11</v>
      </c>
      <c r="F205" s="159" t="s">
        <v>1618</v>
      </c>
      <c r="G205" s="160"/>
      <c r="H205" s="160"/>
      <c r="I205" s="160"/>
      <c r="J205" s="160"/>
      <c r="K205" s="161"/>
      <c r="L205" s="44" t="s">
        <v>71</v>
      </c>
    </row>
    <row r="206" spans="1:12" x14ac:dyDescent="0.25">
      <c r="A206" s="67"/>
      <c r="B206" s="143" t="s">
        <v>1617</v>
      </c>
      <c r="C206" s="144" t="s">
        <v>1615</v>
      </c>
      <c r="D206" s="158" t="s">
        <v>1615</v>
      </c>
      <c r="E206" s="43">
        <v>1479.85</v>
      </c>
      <c r="F206" s="159" t="s">
        <v>1618</v>
      </c>
      <c r="G206" s="160"/>
      <c r="H206" s="160"/>
      <c r="I206" s="160"/>
      <c r="J206" s="160"/>
      <c r="K206" s="161"/>
      <c r="L206" s="44" t="s">
        <v>71</v>
      </c>
    </row>
    <row r="207" spans="1:12" ht="16.5" thickBot="1" x14ac:dyDescent="0.3">
      <c r="A207" s="67"/>
      <c r="B207" s="149" t="s">
        <v>943</v>
      </c>
      <c r="C207" s="150"/>
      <c r="D207" s="169"/>
      <c r="E207" s="43">
        <v>15626.56</v>
      </c>
      <c r="F207" s="170"/>
      <c r="G207" s="171"/>
      <c r="H207" s="171"/>
      <c r="I207" s="171"/>
      <c r="J207" s="171"/>
      <c r="K207" s="172"/>
      <c r="L207" s="44" t="s">
        <v>71</v>
      </c>
    </row>
    <row r="208" spans="1:12" ht="16.5" thickBot="1" x14ac:dyDescent="0.3">
      <c r="A208" s="70" t="s">
        <v>458</v>
      </c>
      <c r="B208" s="173" t="s">
        <v>463</v>
      </c>
      <c r="C208" s="174"/>
      <c r="D208" s="175"/>
      <c r="E208" s="36" t="s">
        <v>8</v>
      </c>
      <c r="F208" s="119" t="s">
        <v>15</v>
      </c>
      <c r="G208" s="120"/>
      <c r="H208" s="120"/>
      <c r="I208" s="120"/>
      <c r="J208" s="120"/>
      <c r="K208" s="121"/>
      <c r="L208" s="39" t="s">
        <v>16</v>
      </c>
    </row>
    <row r="209" spans="1:12" ht="16.5" thickBot="1" x14ac:dyDescent="0.3">
      <c r="A209" s="17" t="s">
        <v>1264</v>
      </c>
      <c r="B209" s="128" t="s">
        <v>1263</v>
      </c>
      <c r="C209" s="129"/>
      <c r="D209" s="162"/>
      <c r="E209" s="43">
        <v>531.38</v>
      </c>
      <c r="F209" s="163"/>
      <c r="G209" s="164"/>
      <c r="H209" s="164"/>
      <c r="I209" s="164"/>
      <c r="J209" s="164"/>
      <c r="K209" s="165"/>
      <c r="L209" s="23" t="s">
        <v>33</v>
      </c>
    </row>
    <row r="210" spans="1:12" x14ac:dyDescent="0.25">
      <c r="A210" s="17" t="s">
        <v>73</v>
      </c>
      <c r="B210" s="128" t="s">
        <v>1207</v>
      </c>
      <c r="C210" s="129"/>
      <c r="D210" s="162"/>
      <c r="E210" s="43">
        <v>1203.77</v>
      </c>
      <c r="F210" s="159"/>
      <c r="G210" s="160"/>
      <c r="H210" s="160"/>
      <c r="I210" s="160"/>
      <c r="J210" s="160"/>
      <c r="K210" s="161"/>
      <c r="L210" s="23" t="s">
        <v>33</v>
      </c>
    </row>
    <row r="211" spans="1:12" x14ac:dyDescent="0.25">
      <c r="A211" s="17" t="s">
        <v>1521</v>
      </c>
      <c r="B211" s="143" t="s">
        <v>1442</v>
      </c>
      <c r="C211" s="144"/>
      <c r="D211" s="158"/>
      <c r="E211" s="43">
        <v>316.29000000000002</v>
      </c>
      <c r="F211" s="159"/>
      <c r="G211" s="160"/>
      <c r="H211" s="160"/>
      <c r="I211" s="160"/>
      <c r="J211" s="160"/>
      <c r="K211" s="161"/>
      <c r="L211" s="23" t="s">
        <v>33</v>
      </c>
    </row>
    <row r="212" spans="1:12" x14ac:dyDescent="0.25">
      <c r="A212" s="17" t="s">
        <v>1522</v>
      </c>
      <c r="B212" s="143" t="s">
        <v>896</v>
      </c>
      <c r="C212" s="144"/>
      <c r="D212" s="158"/>
      <c r="E212" s="43">
        <v>1060.49</v>
      </c>
      <c r="F212" s="159"/>
      <c r="G212" s="160"/>
      <c r="H212" s="160"/>
      <c r="I212" s="160"/>
      <c r="J212" s="160"/>
      <c r="K212" s="161"/>
      <c r="L212" s="23" t="s">
        <v>33</v>
      </c>
    </row>
    <row r="213" spans="1:12" x14ac:dyDescent="0.25">
      <c r="A213" s="17" t="s">
        <v>226</v>
      </c>
      <c r="B213" s="143" t="s">
        <v>1239</v>
      </c>
      <c r="C213" s="144"/>
      <c r="D213" s="158"/>
      <c r="E213" s="43">
        <v>1340.84</v>
      </c>
      <c r="F213" s="159"/>
      <c r="G213" s="160"/>
      <c r="H213" s="160"/>
      <c r="I213" s="160"/>
      <c r="J213" s="160"/>
      <c r="K213" s="161"/>
      <c r="L213" s="23" t="s">
        <v>33</v>
      </c>
    </row>
    <row r="214" spans="1:12" x14ac:dyDescent="0.25">
      <c r="A214" s="17" t="s">
        <v>1525</v>
      </c>
      <c r="B214" s="143" t="s">
        <v>1524</v>
      </c>
      <c r="C214" s="144"/>
      <c r="D214" s="158"/>
      <c r="E214" s="43">
        <v>420.36</v>
      </c>
      <c r="F214" s="159"/>
      <c r="G214" s="160"/>
      <c r="H214" s="160"/>
      <c r="I214" s="160"/>
      <c r="J214" s="160"/>
      <c r="K214" s="161"/>
      <c r="L214" s="23" t="s">
        <v>33</v>
      </c>
    </row>
    <row r="215" spans="1:12" x14ac:dyDescent="0.25">
      <c r="A215" s="17" t="s">
        <v>193</v>
      </c>
      <c r="B215" s="74"/>
      <c r="C215" s="75" t="s">
        <v>1139</v>
      </c>
      <c r="D215" s="76"/>
      <c r="E215" s="43">
        <v>2184.04</v>
      </c>
      <c r="F215" s="77"/>
      <c r="G215" s="78"/>
      <c r="H215" s="78"/>
      <c r="I215" s="78"/>
      <c r="J215" s="78"/>
      <c r="K215" s="79"/>
      <c r="L215" s="23" t="s">
        <v>33</v>
      </c>
    </row>
    <row r="216" spans="1:12" x14ac:dyDescent="0.25">
      <c r="A216" s="17" t="s">
        <v>1527</v>
      </c>
      <c r="B216" s="74"/>
      <c r="C216" s="75" t="s">
        <v>1526</v>
      </c>
      <c r="D216" s="76"/>
      <c r="E216" s="43">
        <v>310.82</v>
      </c>
      <c r="F216" s="77"/>
      <c r="G216" s="78"/>
      <c r="H216" s="78"/>
      <c r="I216" s="78"/>
      <c r="J216" s="78"/>
      <c r="K216" s="79"/>
      <c r="L216" s="23" t="s">
        <v>33</v>
      </c>
    </row>
    <row r="217" spans="1:12" x14ac:dyDescent="0.25">
      <c r="A217" s="17" t="s">
        <v>55</v>
      </c>
      <c r="B217" s="74"/>
      <c r="C217" s="75" t="s">
        <v>1195</v>
      </c>
      <c r="D217" s="76"/>
      <c r="E217" s="43">
        <v>284.7</v>
      </c>
      <c r="F217" s="77"/>
      <c r="G217" s="78"/>
      <c r="H217" s="78"/>
      <c r="I217" s="78"/>
      <c r="J217" s="78"/>
      <c r="K217" s="79"/>
      <c r="L217" s="23" t="s">
        <v>33</v>
      </c>
    </row>
    <row r="218" spans="1:12" x14ac:dyDescent="0.25">
      <c r="A218" s="17" t="s">
        <v>103</v>
      </c>
      <c r="B218" s="74"/>
      <c r="C218" s="75" t="s">
        <v>1552</v>
      </c>
      <c r="D218" s="76"/>
      <c r="E218" s="43">
        <v>343.58</v>
      </c>
      <c r="F218" s="77"/>
      <c r="G218" s="78"/>
      <c r="H218" s="78"/>
      <c r="I218" s="78"/>
      <c r="J218" s="78"/>
      <c r="K218" s="79"/>
      <c r="L218" s="23" t="s">
        <v>33</v>
      </c>
    </row>
    <row r="219" spans="1:12" x14ac:dyDescent="0.25">
      <c r="A219" s="17" t="s">
        <v>140</v>
      </c>
      <c r="B219" s="74"/>
      <c r="C219" s="75" t="s">
        <v>1199</v>
      </c>
      <c r="D219" s="76"/>
      <c r="E219" s="43">
        <v>882.31</v>
      </c>
      <c r="F219" s="77"/>
      <c r="G219" s="78"/>
      <c r="H219" s="78"/>
      <c r="I219" s="78"/>
      <c r="J219" s="78"/>
      <c r="K219" s="79"/>
      <c r="L219" s="23" t="s">
        <v>33</v>
      </c>
    </row>
    <row r="220" spans="1:12" x14ac:dyDescent="0.25">
      <c r="A220" s="17" t="s">
        <v>92</v>
      </c>
      <c r="B220" s="74"/>
      <c r="C220" s="75" t="s">
        <v>1555</v>
      </c>
      <c r="D220" s="76"/>
      <c r="E220" s="43">
        <v>993.04</v>
      </c>
      <c r="F220" s="77"/>
      <c r="G220" s="78"/>
      <c r="H220" s="78"/>
      <c r="I220" s="78"/>
      <c r="J220" s="78"/>
      <c r="K220" s="79"/>
      <c r="L220" s="23" t="s">
        <v>33</v>
      </c>
    </row>
    <row r="221" spans="1:12" x14ac:dyDescent="0.25">
      <c r="A221" s="17" t="s">
        <v>1558</v>
      </c>
      <c r="B221" s="74"/>
      <c r="C221" s="75" t="s">
        <v>1557</v>
      </c>
      <c r="D221" s="76"/>
      <c r="E221" s="43">
        <v>4871.95</v>
      </c>
      <c r="F221" s="77"/>
      <c r="G221" s="78"/>
      <c r="H221" s="78"/>
      <c r="I221" s="78"/>
      <c r="J221" s="78"/>
      <c r="K221" s="79"/>
      <c r="L221" s="23" t="s">
        <v>33</v>
      </c>
    </row>
    <row r="222" spans="1:12" x14ac:dyDescent="0.25">
      <c r="A222" s="17" t="s">
        <v>1561</v>
      </c>
      <c r="B222" s="143" t="s">
        <v>1560</v>
      </c>
      <c r="C222" s="144"/>
      <c r="D222" s="158"/>
      <c r="E222" s="43">
        <v>2602.7199999999998</v>
      </c>
      <c r="F222" s="159"/>
      <c r="G222" s="160"/>
      <c r="H222" s="160"/>
      <c r="I222" s="160"/>
      <c r="J222" s="160"/>
      <c r="K222" s="161"/>
      <c r="L222" s="23" t="s">
        <v>33</v>
      </c>
    </row>
    <row r="223" spans="1:12" x14ac:dyDescent="0.25">
      <c r="A223" s="17" t="s">
        <v>1563</v>
      </c>
      <c r="B223" s="143" t="s">
        <v>1562</v>
      </c>
      <c r="C223" s="144"/>
      <c r="D223" s="158"/>
      <c r="E223" s="43">
        <v>817.34</v>
      </c>
      <c r="F223" s="159"/>
      <c r="G223" s="160"/>
      <c r="H223" s="160"/>
      <c r="I223" s="160"/>
      <c r="J223" s="160"/>
      <c r="K223" s="161"/>
      <c r="L223" s="23" t="s">
        <v>33</v>
      </c>
    </row>
    <row r="224" spans="1:12" x14ac:dyDescent="0.25">
      <c r="A224" s="17" t="s">
        <v>1565</v>
      </c>
      <c r="B224" s="143" t="s">
        <v>1564</v>
      </c>
      <c r="C224" s="144"/>
      <c r="D224" s="158"/>
      <c r="E224" s="43">
        <v>389.95</v>
      </c>
      <c r="F224" s="159"/>
      <c r="G224" s="160"/>
      <c r="H224" s="160"/>
      <c r="I224" s="160"/>
      <c r="J224" s="160"/>
      <c r="K224" s="161"/>
      <c r="L224" s="23"/>
    </row>
    <row r="225" spans="1:12" x14ac:dyDescent="0.25">
      <c r="A225" s="17"/>
      <c r="B225" s="143"/>
      <c r="C225" s="144"/>
      <c r="D225" s="158"/>
      <c r="E225" s="43"/>
      <c r="F225" s="159"/>
      <c r="G225" s="160"/>
      <c r="H225" s="160"/>
      <c r="I225" s="160"/>
      <c r="J225" s="160"/>
      <c r="K225" s="161"/>
      <c r="L225" s="17"/>
    </row>
    <row r="226" spans="1:12" x14ac:dyDescent="0.25">
      <c r="A226" s="17"/>
      <c r="B226" s="143"/>
      <c r="C226" s="144"/>
      <c r="D226" s="158"/>
      <c r="E226" s="43"/>
      <c r="F226" s="159"/>
      <c r="G226" s="160"/>
      <c r="H226" s="160"/>
      <c r="I226" s="160"/>
      <c r="J226" s="160"/>
      <c r="K226" s="161"/>
      <c r="L226" s="17"/>
    </row>
    <row r="227" spans="1:12" x14ac:dyDescent="0.25">
      <c r="A227" s="17"/>
      <c r="B227" s="143"/>
      <c r="C227" s="144"/>
      <c r="D227" s="158"/>
      <c r="E227" s="43"/>
      <c r="F227" s="159"/>
      <c r="G227" s="160"/>
      <c r="H227" s="160"/>
      <c r="I227" s="160"/>
      <c r="J227" s="160"/>
      <c r="K227" s="161"/>
      <c r="L227" s="17"/>
    </row>
    <row r="228" spans="1:12" ht="16.5" thickBot="1" x14ac:dyDescent="0.3">
      <c r="A228" s="26"/>
      <c r="B228" s="149"/>
      <c r="C228" s="150"/>
      <c r="D228" s="169"/>
      <c r="E228" s="45"/>
      <c r="F228" s="170"/>
      <c r="G228" s="171"/>
      <c r="H228" s="171"/>
      <c r="I228" s="171"/>
      <c r="J228" s="171"/>
      <c r="K228" s="172"/>
      <c r="L228" s="26"/>
    </row>
    <row r="229" spans="1:12" x14ac:dyDescent="0.25">
      <c r="A229" s="68"/>
      <c r="B229" s="69"/>
      <c r="C229" s="46"/>
      <c r="D229" s="46"/>
      <c r="F229" s="47"/>
      <c r="G229" s="47"/>
      <c r="H229" s="47"/>
      <c r="I229" s="47"/>
      <c r="J229" s="47"/>
      <c r="K229" s="47"/>
    </row>
    <row r="230" spans="1:12" x14ac:dyDescent="0.25">
      <c r="B230" s="176" t="s">
        <v>464</v>
      </c>
      <c r="C230" s="176"/>
      <c r="D230" s="176"/>
      <c r="E230" s="6">
        <f>SUM(E39:E47)</f>
        <v>11617.42</v>
      </c>
      <c r="F230" s="6"/>
      <c r="G230" s="6"/>
      <c r="H230" s="6"/>
      <c r="I230" s="6"/>
      <c r="J230" s="6"/>
      <c r="K230" s="6"/>
    </row>
    <row r="231" spans="1:12" x14ac:dyDescent="0.25">
      <c r="B231" s="176" t="s">
        <v>465</v>
      </c>
      <c r="C231" s="176"/>
      <c r="D231" s="176"/>
      <c r="E231" s="6">
        <f>SUM(E20:E37)</f>
        <v>3825.55</v>
      </c>
    </row>
    <row r="232" spans="1:12" x14ac:dyDescent="0.25">
      <c r="B232" s="176" t="s">
        <v>466</v>
      </c>
      <c r="C232" s="176"/>
      <c r="D232" s="176"/>
      <c r="E232" s="6">
        <f>SUM(E49:E62)</f>
        <v>5820.11</v>
      </c>
    </row>
    <row r="237" spans="1:12" ht="18.75" x14ac:dyDescent="0.3">
      <c r="B237" s="48"/>
    </row>
  </sheetData>
  <mergeCells count="431">
    <mergeCell ref="H52:K52"/>
    <mergeCell ref="H53:K53"/>
    <mergeCell ref="H54:K54"/>
    <mergeCell ref="H55:K55"/>
    <mergeCell ref="B205:D205"/>
    <mergeCell ref="F205:K205"/>
    <mergeCell ref="B206:D206"/>
    <mergeCell ref="F206:K206"/>
    <mergeCell ref="B130:D130"/>
    <mergeCell ref="F130:K130"/>
    <mergeCell ref="B131:D131"/>
    <mergeCell ref="F131:K131"/>
    <mergeCell ref="B132:D132"/>
    <mergeCell ref="F132:K132"/>
    <mergeCell ref="B133:D133"/>
    <mergeCell ref="F133:K133"/>
    <mergeCell ref="B189:D189"/>
    <mergeCell ref="F189:K189"/>
    <mergeCell ref="B188:D188"/>
    <mergeCell ref="F188:K188"/>
    <mergeCell ref="B176:D176"/>
    <mergeCell ref="F176:K176"/>
    <mergeCell ref="B177:D177"/>
    <mergeCell ref="F177:K177"/>
    <mergeCell ref="B178:D178"/>
    <mergeCell ref="F178:K178"/>
    <mergeCell ref="B169:D169"/>
    <mergeCell ref="F169:K169"/>
    <mergeCell ref="B126:D126"/>
    <mergeCell ref="F126:K126"/>
    <mergeCell ref="B127:D127"/>
    <mergeCell ref="F127:K127"/>
    <mergeCell ref="B128:D128"/>
    <mergeCell ref="F128:K128"/>
    <mergeCell ref="B129:D129"/>
    <mergeCell ref="F129:K129"/>
    <mergeCell ref="B121:D121"/>
    <mergeCell ref="F121:K121"/>
    <mergeCell ref="B122:D122"/>
    <mergeCell ref="F122:K122"/>
    <mergeCell ref="B123:D123"/>
    <mergeCell ref="F123:K123"/>
    <mergeCell ref="B124:D124"/>
    <mergeCell ref="F124:K124"/>
    <mergeCell ref="B125:D125"/>
    <mergeCell ref="F125:K125"/>
    <mergeCell ref="B116:D116"/>
    <mergeCell ref="F116:K116"/>
    <mergeCell ref="B117:D117"/>
    <mergeCell ref="F117:K117"/>
    <mergeCell ref="B118:D118"/>
    <mergeCell ref="F118:K118"/>
    <mergeCell ref="B119:D119"/>
    <mergeCell ref="F119:K119"/>
    <mergeCell ref="B120:D120"/>
    <mergeCell ref="F120:K120"/>
    <mergeCell ref="B111:D111"/>
    <mergeCell ref="F111:K111"/>
    <mergeCell ref="B112:D112"/>
    <mergeCell ref="F112:K112"/>
    <mergeCell ref="B113:D113"/>
    <mergeCell ref="F113:K113"/>
    <mergeCell ref="B114:D114"/>
    <mergeCell ref="F114:K114"/>
    <mergeCell ref="B115:D115"/>
    <mergeCell ref="F115:K115"/>
    <mergeCell ref="B106:D106"/>
    <mergeCell ref="F106:K106"/>
    <mergeCell ref="B107:D107"/>
    <mergeCell ref="F107:K107"/>
    <mergeCell ref="B108:D108"/>
    <mergeCell ref="F108:K108"/>
    <mergeCell ref="B109:D109"/>
    <mergeCell ref="F109:K109"/>
    <mergeCell ref="B110:D110"/>
    <mergeCell ref="F110:K110"/>
    <mergeCell ref="B101:D101"/>
    <mergeCell ref="F101:K101"/>
    <mergeCell ref="B102:D102"/>
    <mergeCell ref="F102:K102"/>
    <mergeCell ref="B103:D103"/>
    <mergeCell ref="F103:K103"/>
    <mergeCell ref="B104:D104"/>
    <mergeCell ref="F104:K104"/>
    <mergeCell ref="B105:D105"/>
    <mergeCell ref="F105:K105"/>
    <mergeCell ref="B96:D96"/>
    <mergeCell ref="F96:K96"/>
    <mergeCell ref="B97:D97"/>
    <mergeCell ref="F97:K97"/>
    <mergeCell ref="B98:D98"/>
    <mergeCell ref="F98:K98"/>
    <mergeCell ref="B99:D99"/>
    <mergeCell ref="F99:K99"/>
    <mergeCell ref="B100:D100"/>
    <mergeCell ref="F100:K100"/>
    <mergeCell ref="B85:D85"/>
    <mergeCell ref="F85:K85"/>
    <mergeCell ref="B86:D86"/>
    <mergeCell ref="F86:K86"/>
    <mergeCell ref="B87:D87"/>
    <mergeCell ref="F87:K87"/>
    <mergeCell ref="B88:D88"/>
    <mergeCell ref="F88:K88"/>
    <mergeCell ref="B89:D89"/>
    <mergeCell ref="F89:K89"/>
    <mergeCell ref="B90:D90"/>
    <mergeCell ref="F90:K90"/>
    <mergeCell ref="B91:D91"/>
    <mergeCell ref="F91:K91"/>
    <mergeCell ref="B92:D92"/>
    <mergeCell ref="F92:K92"/>
    <mergeCell ref="B93:D93"/>
    <mergeCell ref="F93:K93"/>
    <mergeCell ref="B94:D94"/>
    <mergeCell ref="F94:K94"/>
    <mergeCell ref="B95:D95"/>
    <mergeCell ref="F95:K95"/>
    <mergeCell ref="B184:D184"/>
    <mergeCell ref="F184:K184"/>
    <mergeCell ref="B185:D185"/>
    <mergeCell ref="F185:K185"/>
    <mergeCell ref="B186:D186"/>
    <mergeCell ref="F186:K186"/>
    <mergeCell ref="B187:D187"/>
    <mergeCell ref="F187:K187"/>
    <mergeCell ref="B179:D179"/>
    <mergeCell ref="F179:K179"/>
    <mergeCell ref="B180:D180"/>
    <mergeCell ref="F180:K180"/>
    <mergeCell ref="B181:D181"/>
    <mergeCell ref="F181:K181"/>
    <mergeCell ref="B182:D182"/>
    <mergeCell ref="F182:K182"/>
    <mergeCell ref="B183:D183"/>
    <mergeCell ref="F183:K183"/>
    <mergeCell ref="B174:D174"/>
    <mergeCell ref="F174:K174"/>
    <mergeCell ref="B175:D175"/>
    <mergeCell ref="F175:K175"/>
    <mergeCell ref="B170:D170"/>
    <mergeCell ref="F170:K170"/>
    <mergeCell ref="B171:D171"/>
    <mergeCell ref="F171:K171"/>
    <mergeCell ref="B172:D172"/>
    <mergeCell ref="F172:K172"/>
    <mergeCell ref="B173:D173"/>
    <mergeCell ref="F173:K173"/>
    <mergeCell ref="B164:D164"/>
    <mergeCell ref="F164:K164"/>
    <mergeCell ref="B165:D165"/>
    <mergeCell ref="F165:K165"/>
    <mergeCell ref="B166:D166"/>
    <mergeCell ref="F166:K166"/>
    <mergeCell ref="B167:D167"/>
    <mergeCell ref="F167:K167"/>
    <mergeCell ref="B168:D168"/>
    <mergeCell ref="F168:K168"/>
    <mergeCell ref="B159:D159"/>
    <mergeCell ref="F159:K159"/>
    <mergeCell ref="B160:D160"/>
    <mergeCell ref="F160:K160"/>
    <mergeCell ref="B161:D161"/>
    <mergeCell ref="F161:K161"/>
    <mergeCell ref="B162:D162"/>
    <mergeCell ref="F162:K162"/>
    <mergeCell ref="B163:D163"/>
    <mergeCell ref="F163:K163"/>
    <mergeCell ref="B154:D154"/>
    <mergeCell ref="F154:K154"/>
    <mergeCell ref="B155:D155"/>
    <mergeCell ref="F155:K155"/>
    <mergeCell ref="B156:D156"/>
    <mergeCell ref="F156:K156"/>
    <mergeCell ref="B157:D157"/>
    <mergeCell ref="F157:K157"/>
    <mergeCell ref="B158:D158"/>
    <mergeCell ref="F158:K158"/>
    <mergeCell ref="B149:D149"/>
    <mergeCell ref="F149:K149"/>
    <mergeCell ref="B150:D150"/>
    <mergeCell ref="F150:K150"/>
    <mergeCell ref="B151:D151"/>
    <mergeCell ref="F151:K151"/>
    <mergeCell ref="B152:D152"/>
    <mergeCell ref="F152:K152"/>
    <mergeCell ref="B153:D153"/>
    <mergeCell ref="F153:K153"/>
    <mergeCell ref="B144:D144"/>
    <mergeCell ref="F144:K144"/>
    <mergeCell ref="B145:D145"/>
    <mergeCell ref="F145:K145"/>
    <mergeCell ref="B146:D146"/>
    <mergeCell ref="F146:K146"/>
    <mergeCell ref="B147:D147"/>
    <mergeCell ref="F147:K147"/>
    <mergeCell ref="B148:D148"/>
    <mergeCell ref="F148:K148"/>
    <mergeCell ref="B139:D139"/>
    <mergeCell ref="F139:K139"/>
    <mergeCell ref="B140:D140"/>
    <mergeCell ref="F140:K140"/>
    <mergeCell ref="B141:D141"/>
    <mergeCell ref="F141:K141"/>
    <mergeCell ref="B142:D142"/>
    <mergeCell ref="F142:K142"/>
    <mergeCell ref="B143:D143"/>
    <mergeCell ref="F143:K143"/>
    <mergeCell ref="B134:D134"/>
    <mergeCell ref="F134:K134"/>
    <mergeCell ref="B135:D135"/>
    <mergeCell ref="F135:K135"/>
    <mergeCell ref="B136:D136"/>
    <mergeCell ref="F136:K136"/>
    <mergeCell ref="B137:D137"/>
    <mergeCell ref="F137:K137"/>
    <mergeCell ref="B138:D138"/>
    <mergeCell ref="F138:K138"/>
    <mergeCell ref="B200:D200"/>
    <mergeCell ref="F200:K200"/>
    <mergeCell ref="B201:D201"/>
    <mergeCell ref="F201:K201"/>
    <mergeCell ref="B202:D202"/>
    <mergeCell ref="F202:K202"/>
    <mergeCell ref="B203:D203"/>
    <mergeCell ref="F203:K203"/>
    <mergeCell ref="B204:D204"/>
    <mergeCell ref="F204:K204"/>
    <mergeCell ref="B195:D195"/>
    <mergeCell ref="F195:K195"/>
    <mergeCell ref="B196:D196"/>
    <mergeCell ref="F196:K196"/>
    <mergeCell ref="B197:D197"/>
    <mergeCell ref="F197:K197"/>
    <mergeCell ref="B198:D198"/>
    <mergeCell ref="F198:K198"/>
    <mergeCell ref="B199:D199"/>
    <mergeCell ref="F199:K199"/>
    <mergeCell ref="B190:D190"/>
    <mergeCell ref="F190:K190"/>
    <mergeCell ref="B191:D191"/>
    <mergeCell ref="F191:K191"/>
    <mergeCell ref="B192:D192"/>
    <mergeCell ref="F192:K192"/>
    <mergeCell ref="B193:D193"/>
    <mergeCell ref="F193:K193"/>
    <mergeCell ref="B194:D194"/>
    <mergeCell ref="F194:K194"/>
    <mergeCell ref="B80:D80"/>
    <mergeCell ref="F80:K80"/>
    <mergeCell ref="B81:D81"/>
    <mergeCell ref="F81:K81"/>
    <mergeCell ref="B82:D82"/>
    <mergeCell ref="F82:K82"/>
    <mergeCell ref="B83:D83"/>
    <mergeCell ref="F83:K83"/>
    <mergeCell ref="B84:D84"/>
    <mergeCell ref="F84:K84"/>
    <mergeCell ref="B75:D75"/>
    <mergeCell ref="F75:K75"/>
    <mergeCell ref="B76:D76"/>
    <mergeCell ref="F76:K76"/>
    <mergeCell ref="B77:D77"/>
    <mergeCell ref="F77:K77"/>
    <mergeCell ref="B78:D78"/>
    <mergeCell ref="F78:K78"/>
    <mergeCell ref="B79:D79"/>
    <mergeCell ref="F79:K79"/>
    <mergeCell ref="B59:D59"/>
    <mergeCell ref="F59:K59"/>
    <mergeCell ref="B60:D60"/>
    <mergeCell ref="F60:K60"/>
    <mergeCell ref="B230:D230"/>
    <mergeCell ref="B231:D231"/>
    <mergeCell ref="B232:D232"/>
    <mergeCell ref="I6:J6"/>
    <mergeCell ref="K6:L6"/>
    <mergeCell ref="I7:J7"/>
    <mergeCell ref="K7:L7"/>
    <mergeCell ref="B8:C8"/>
    <mergeCell ref="D8:E8"/>
    <mergeCell ref="F8:G8"/>
    <mergeCell ref="B20:D20"/>
    <mergeCell ref="H20:K20"/>
    <mergeCell ref="B24:D24"/>
    <mergeCell ref="H24:K24"/>
    <mergeCell ref="B25:D25"/>
    <mergeCell ref="H25:K25"/>
    <mergeCell ref="B26:D26"/>
    <mergeCell ref="H26:K26"/>
    <mergeCell ref="B21:D21"/>
    <mergeCell ref="H21:K21"/>
    <mergeCell ref="J1:L1"/>
    <mergeCell ref="E3:F3"/>
    <mergeCell ref="I3:L3"/>
    <mergeCell ref="I4:J4"/>
    <mergeCell ref="K4:L4"/>
    <mergeCell ref="I5:J5"/>
    <mergeCell ref="K5:L5"/>
    <mergeCell ref="I15:K15"/>
    <mergeCell ref="B19:D19"/>
    <mergeCell ref="H19:K19"/>
    <mergeCell ref="I9:K9"/>
    <mergeCell ref="I10:K10"/>
    <mergeCell ref="I11:K11"/>
    <mergeCell ref="I12:K12"/>
    <mergeCell ref="I13:K13"/>
    <mergeCell ref="I14:K14"/>
    <mergeCell ref="A18:L18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B58:D58"/>
    <mergeCell ref="F58:K58"/>
    <mergeCell ref="B45:D45"/>
    <mergeCell ref="F45:K45"/>
    <mergeCell ref="B46:D46"/>
    <mergeCell ref="F46:K46"/>
    <mergeCell ref="B47:D47"/>
    <mergeCell ref="F47:K47"/>
    <mergeCell ref="B56:D56"/>
    <mergeCell ref="B57:D57"/>
    <mergeCell ref="B50:D50"/>
    <mergeCell ref="B51:D51"/>
    <mergeCell ref="B52:D52"/>
    <mergeCell ref="H56:K56"/>
    <mergeCell ref="H57:K57"/>
    <mergeCell ref="B53:D53"/>
    <mergeCell ref="B54:D54"/>
    <mergeCell ref="B55:D55"/>
    <mergeCell ref="H49:K49"/>
    <mergeCell ref="H50:K50"/>
    <mergeCell ref="H51:K51"/>
    <mergeCell ref="B64:D64"/>
    <mergeCell ref="F64:K64"/>
    <mergeCell ref="B65:D65"/>
    <mergeCell ref="F65:K65"/>
    <mergeCell ref="B66:D66"/>
    <mergeCell ref="F66:K66"/>
    <mergeCell ref="B61:D61"/>
    <mergeCell ref="F61:K61"/>
    <mergeCell ref="B62:D62"/>
    <mergeCell ref="F62:K62"/>
    <mergeCell ref="B63:D63"/>
    <mergeCell ref="F63:K63"/>
    <mergeCell ref="B208:D208"/>
    <mergeCell ref="F208:K208"/>
    <mergeCell ref="B209:D209"/>
    <mergeCell ref="F209:K209"/>
    <mergeCell ref="B210:D210"/>
    <mergeCell ref="F210:K210"/>
    <mergeCell ref="B67:D67"/>
    <mergeCell ref="F67:K67"/>
    <mergeCell ref="B68:D68"/>
    <mergeCell ref="F68:K68"/>
    <mergeCell ref="B207:D207"/>
    <mergeCell ref="F207:K207"/>
    <mergeCell ref="B69:D69"/>
    <mergeCell ref="F69:K69"/>
    <mergeCell ref="B70:D70"/>
    <mergeCell ref="F70:K70"/>
    <mergeCell ref="B71:D71"/>
    <mergeCell ref="F71:K71"/>
    <mergeCell ref="B72:D72"/>
    <mergeCell ref="F72:K72"/>
    <mergeCell ref="B73:D73"/>
    <mergeCell ref="F73:K73"/>
    <mergeCell ref="B74:D74"/>
    <mergeCell ref="F74:K74"/>
    <mergeCell ref="B214:D214"/>
    <mergeCell ref="F214:K214"/>
    <mergeCell ref="B222:D222"/>
    <mergeCell ref="F222:K222"/>
    <mergeCell ref="B223:D223"/>
    <mergeCell ref="F223:K223"/>
    <mergeCell ref="B211:D211"/>
    <mergeCell ref="F211:K211"/>
    <mergeCell ref="B212:D212"/>
    <mergeCell ref="F212:K212"/>
    <mergeCell ref="B213:D213"/>
    <mergeCell ref="F213:K213"/>
    <mergeCell ref="B227:D227"/>
    <mergeCell ref="F227:K227"/>
    <mergeCell ref="B228:D228"/>
    <mergeCell ref="F228:K228"/>
    <mergeCell ref="B224:D224"/>
    <mergeCell ref="F224:K224"/>
    <mergeCell ref="B225:D225"/>
    <mergeCell ref="F225:K225"/>
    <mergeCell ref="B226:D226"/>
    <mergeCell ref="F226:K226"/>
  </mergeCells>
  <phoneticPr fontId="10" type="noConversion"/>
  <conditionalFormatting sqref="A18:A19 M48:XFD57 B58:XFD62">
    <cfRule type="cellIs" dxfId="87" priority="1" stopIfTrue="1" operator="equal">
      <formula>"OK"</formula>
    </cfRule>
  </conditionalFormatting>
  <conditionalFormatting sqref="A235:XFD1048576">
    <cfRule type="cellIs" dxfId="86" priority="13" stopIfTrue="1" operator="equal">
      <formula>"OK"</formula>
    </cfRule>
  </conditionalFormatting>
  <conditionalFormatting sqref="B20:H37 B49:B57">
    <cfRule type="expression" dxfId="85" priority="20">
      <formula>$J20="ancien paiement"</formula>
    </cfRule>
  </conditionalFormatting>
  <conditionalFormatting sqref="B210:D210 E210:F211 B211 B212:K212 B213 E213:F213 B214:K228 E49:F57 E65:F67 B65:B67 B59:K64 B68:K129">
    <cfRule type="expression" dxfId="84" priority="19">
      <formula>$F49="ancien paiement"</formula>
    </cfRule>
    <cfRule type="expression" dxfId="83" priority="21">
      <formula>$J49="ancien paiement"</formula>
    </cfRule>
  </conditionalFormatting>
  <conditionalFormatting sqref="E65:F67 B210:D210 E210:F211 B211 B212:XFD212 B213 E213:F213 B214:XFD234 B19:H37 B38:XFD47 B63:XFD64 B1:J1 M1:XFD1 A2:XFD2 E3 G3:I3 M3:XFD3 B3:D6 K4 P4:XFD7 K5:L7 B7:I7 B8:D8 F8 I8 M8:XFD8 L9:XFD16 A17:XFD17 M18:XFD18 L19:XFD37 L210:XFD211 L213:XFD213 B65:B67 B68:K68 L65:XFD68 B69:XFD209">
    <cfRule type="cellIs" dxfId="82" priority="22" stopIfTrue="1" operator="equal">
      <formula>"OK"</formula>
    </cfRule>
  </conditionalFormatting>
  <conditionalFormatting sqref="B9:I16">
    <cfRule type="cellIs" dxfId="81" priority="11" stopIfTrue="1" operator="equal">
      <formula>"OK"</formula>
    </cfRule>
  </conditionalFormatting>
  <conditionalFormatting sqref="B39:K39">
    <cfRule type="expression" dxfId="80" priority="18">
      <formula>$J39="ancien paiement"</formula>
    </cfRule>
  </conditionalFormatting>
  <conditionalFormatting sqref="B39:K48 B49:B57">
    <cfRule type="expression" dxfId="79" priority="5">
      <formula>$F39="ancien paiement"</formula>
    </cfRule>
  </conditionalFormatting>
  <conditionalFormatting sqref="B41:K48">
    <cfRule type="expression" dxfId="78" priority="6">
      <formula>$J41="ancien paiement"</formula>
    </cfRule>
  </conditionalFormatting>
  <conditionalFormatting sqref="B130:K207">
    <cfRule type="expression" dxfId="77" priority="16">
      <formula>$F130="ancien paiement"</formula>
    </cfRule>
    <cfRule type="expression" dxfId="76" priority="17">
      <formula>$J130="ancien paiement"</formula>
    </cfRule>
  </conditionalFormatting>
  <conditionalFormatting sqref="B209:K209">
    <cfRule type="expression" dxfId="75" priority="14">
      <formula>$F209="ancien paiement"</formula>
    </cfRule>
    <cfRule type="expression" dxfId="74" priority="15">
      <formula>$J209="ancien paiement"</formula>
    </cfRule>
  </conditionalFormatting>
  <conditionalFormatting sqref="B48:L48 B50:D56 E50:E57 B49:H49 L49 B57:G57">
    <cfRule type="cellIs" dxfId="73" priority="9" stopIfTrue="1" operator="equal">
      <formula>"OK"</formula>
    </cfRule>
  </conditionalFormatting>
  <conditionalFormatting sqref="E49:E57">
    <cfRule type="expression" dxfId="72" priority="10">
      <formula>#REF!="ancien paiement"</formula>
    </cfRule>
  </conditionalFormatting>
  <conditionalFormatting sqref="E4:I6">
    <cfRule type="cellIs" dxfId="71" priority="12" stopIfTrue="1" operator="equal">
      <formula>"OK"</formula>
    </cfRule>
  </conditionalFormatting>
  <conditionalFormatting sqref="E51:G56 E50:H50 H51:H57 L50:L57">
    <cfRule type="cellIs" dxfId="70" priority="4" stopIfTrue="1" operator="equal">
      <formula>"OK"</formula>
    </cfRule>
  </conditionalFormatting>
  <pageMargins left="0.7" right="0.7" top="0.75" bottom="0.75" header="0.3" footer="0.3"/>
  <pageSetup paperSize="9" scale="2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D3DE-1C4A-46B1-A99B-B5F1B14E6602}">
  <sheetPr>
    <pageSetUpPr fitToPage="1"/>
  </sheetPr>
  <dimension ref="A1:N104"/>
  <sheetViews>
    <sheetView workbookViewId="0">
      <selection activeCell="G21" sqref="G21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17.7109375" style="1" customWidth="1"/>
    <col min="13" max="16384" width="11.42578125" style="1"/>
  </cols>
  <sheetData>
    <row r="1" spans="2:14" x14ac:dyDescent="0.25">
      <c r="I1" s="2" t="s">
        <v>0</v>
      </c>
      <c r="J1" s="105">
        <v>46141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1675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6180</v>
      </c>
      <c r="G4" s="1" t="s">
        <v>1676</v>
      </c>
      <c r="I4" s="112" t="s">
        <v>3</v>
      </c>
      <c r="J4" s="113"/>
      <c r="K4" s="114">
        <f>E97+C14</f>
        <v>6191.66</v>
      </c>
      <c r="L4" s="115"/>
      <c r="N4" s="6"/>
    </row>
    <row r="5" spans="2:14" ht="16.5" thickBot="1" x14ac:dyDescent="0.3">
      <c r="E5" s="7" t="s">
        <v>4</v>
      </c>
      <c r="F5" s="8">
        <v>1869.94</v>
      </c>
      <c r="G5" s="1" t="s">
        <v>1677</v>
      </c>
      <c r="I5" s="95" t="s">
        <v>5</v>
      </c>
      <c r="J5" s="96"/>
      <c r="K5" s="97">
        <f>E15+E98</f>
        <v>1869.9399999999998</v>
      </c>
      <c r="L5" s="98"/>
      <c r="N5" s="6"/>
    </row>
    <row r="6" spans="2:14" ht="16.5" thickBot="1" x14ac:dyDescent="0.3">
      <c r="E6" s="9" t="s">
        <v>445</v>
      </c>
      <c r="F6" s="85">
        <v>11.66</v>
      </c>
      <c r="I6" s="95" t="s">
        <v>446</v>
      </c>
      <c r="J6" s="96"/>
      <c r="K6" s="97">
        <f>G15+E99</f>
        <v>30228.659999999996</v>
      </c>
      <c r="L6" s="98"/>
    </row>
    <row r="7" spans="2:14" ht="16.5" thickBot="1" x14ac:dyDescent="0.3">
      <c r="I7" s="99" t="s">
        <v>6</v>
      </c>
      <c r="J7" s="100"/>
      <c r="K7" s="101">
        <f>SUM(E61:E66)</f>
        <v>23715.33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2460</v>
      </c>
      <c r="D10" s="19" t="s">
        <v>1505</v>
      </c>
      <c r="E10" s="49">
        <v>799.29</v>
      </c>
      <c r="F10" s="20" t="s">
        <v>9</v>
      </c>
      <c r="G10" s="21">
        <v>18249.53</v>
      </c>
      <c r="H10" s="6"/>
      <c r="I10" s="137" t="s">
        <v>1672</v>
      </c>
      <c r="J10" s="138"/>
      <c r="K10" s="139"/>
      <c r="L10" s="21">
        <v>100</v>
      </c>
    </row>
    <row r="11" spans="2:14" ht="21.6" customHeight="1" x14ac:dyDescent="0.25">
      <c r="B11" s="17" t="s">
        <v>453</v>
      </c>
      <c r="C11" s="18">
        <v>1480</v>
      </c>
      <c r="D11" s="22"/>
      <c r="E11" s="50"/>
      <c r="F11" s="23" t="s">
        <v>454</v>
      </c>
      <c r="G11" s="24"/>
      <c r="H11" s="6"/>
      <c r="I11" s="140" t="s">
        <v>438</v>
      </c>
      <c r="J11" s="141"/>
      <c r="K11" s="142"/>
      <c r="L11" s="21">
        <v>80</v>
      </c>
    </row>
    <row r="12" spans="2:14" ht="21.6" customHeight="1" x14ac:dyDescent="0.25">
      <c r="B12" s="17" t="s">
        <v>455</v>
      </c>
      <c r="C12" s="18">
        <v>105</v>
      </c>
      <c r="D12" s="22"/>
      <c r="E12" s="50"/>
      <c r="F12" s="23"/>
      <c r="G12" s="24"/>
      <c r="H12" s="6"/>
      <c r="I12" s="140" t="s">
        <v>1673</v>
      </c>
      <c r="J12" s="141"/>
      <c r="K12" s="142"/>
      <c r="L12" s="24">
        <v>1440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1674</v>
      </c>
      <c r="J13" s="141"/>
      <c r="K13" s="142"/>
      <c r="L13" s="24">
        <v>119.18</v>
      </c>
    </row>
    <row r="14" spans="2:14" ht="23.85" customHeight="1" x14ac:dyDescent="0.25">
      <c r="B14" s="25" t="s">
        <v>11</v>
      </c>
      <c r="C14" s="18">
        <f>SUM(C9:C13)</f>
        <v>4045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>
        <v>637</v>
      </c>
      <c r="D15" s="28" t="s">
        <v>11</v>
      </c>
      <c r="E15" s="29">
        <f>SUM(E10:E14)</f>
        <v>799.29</v>
      </c>
      <c r="F15" s="30" t="s">
        <v>11</v>
      </c>
      <c r="G15" s="31">
        <f>SUM(G10:G14)</f>
        <v>18249.53</v>
      </c>
      <c r="H15" s="6"/>
      <c r="I15" s="116" t="s">
        <v>457</v>
      </c>
      <c r="J15" s="117"/>
      <c r="K15" s="118"/>
      <c r="L15" s="32">
        <f>C15-'28'!C15</f>
        <v>-1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-1738.18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232</v>
      </c>
      <c r="B20" s="128" t="s">
        <v>1646</v>
      </c>
      <c r="C20" s="129"/>
      <c r="D20" s="130"/>
      <c r="E20" s="20">
        <v>319.87</v>
      </c>
      <c r="F20" s="12" t="s">
        <v>44</v>
      </c>
      <c r="G20" s="51">
        <v>7738612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244</v>
      </c>
      <c r="B21" s="143" t="s">
        <v>1244</v>
      </c>
      <c r="C21" s="144"/>
      <c r="D21" s="145"/>
      <c r="E21" s="20">
        <v>512.80999999999995</v>
      </c>
      <c r="F21" s="23" t="s">
        <v>245</v>
      </c>
      <c r="G21" s="52">
        <v>7051125</v>
      </c>
      <c r="H21" s="146"/>
      <c r="I21" s="147"/>
      <c r="J21" s="147"/>
      <c r="K21" s="148"/>
      <c r="L21" s="23" t="s">
        <v>71</v>
      </c>
    </row>
    <row r="22" spans="1:12" x14ac:dyDescent="0.25">
      <c r="A22" s="66" t="s">
        <v>120</v>
      </c>
      <c r="B22" s="143" t="s">
        <v>1666</v>
      </c>
      <c r="C22" s="144"/>
      <c r="D22" s="145"/>
      <c r="E22" s="20">
        <v>237.97</v>
      </c>
      <c r="F22" s="23" t="s">
        <v>88</v>
      </c>
      <c r="G22" s="52">
        <v>8783657</v>
      </c>
      <c r="H22" s="146"/>
      <c r="I22" s="147"/>
      <c r="J22" s="147"/>
      <c r="K22" s="148"/>
      <c r="L22" s="23" t="s">
        <v>71</v>
      </c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1659</v>
      </c>
      <c r="B39" s="128" t="s">
        <v>1658</v>
      </c>
      <c r="C39" s="129"/>
      <c r="D39" s="162"/>
      <c r="E39" s="41">
        <v>813.69</v>
      </c>
      <c r="F39" s="163"/>
      <c r="G39" s="164"/>
      <c r="H39" s="164"/>
      <c r="I39" s="164"/>
      <c r="J39" s="164"/>
      <c r="K39" s="165"/>
      <c r="L39" s="42" t="s">
        <v>71</v>
      </c>
    </row>
    <row r="40" spans="1:12" x14ac:dyDescent="0.25">
      <c r="A40" s="66" t="s">
        <v>259</v>
      </c>
      <c r="B40" s="143" t="s">
        <v>1278</v>
      </c>
      <c r="C40" s="144"/>
      <c r="D40" s="158"/>
      <c r="E40" s="43">
        <v>916.86</v>
      </c>
      <c r="F40" s="159" t="s">
        <v>1660</v>
      </c>
      <c r="G40" s="160"/>
      <c r="H40" s="160"/>
      <c r="I40" s="160"/>
      <c r="J40" s="160"/>
      <c r="K40" s="161"/>
      <c r="L40" s="23" t="s">
        <v>71</v>
      </c>
    </row>
    <row r="41" spans="1:12" x14ac:dyDescent="0.25">
      <c r="A41" s="66" t="s">
        <v>1665</v>
      </c>
      <c r="B41" s="143" t="s">
        <v>1664</v>
      </c>
      <c r="C41" s="144"/>
      <c r="D41" s="158"/>
      <c r="E41" s="43">
        <v>416.11</v>
      </c>
      <c r="F41" s="159"/>
      <c r="G41" s="160"/>
      <c r="H41" s="160"/>
      <c r="I41" s="160"/>
      <c r="J41" s="160"/>
      <c r="K41" s="161"/>
      <c r="L41" s="17" t="s">
        <v>71</v>
      </c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 t="s">
        <v>112</v>
      </c>
      <c r="B49" s="143" t="s">
        <v>111</v>
      </c>
      <c r="C49" s="144"/>
      <c r="D49" s="158"/>
      <c r="E49" s="43">
        <v>3014.56</v>
      </c>
      <c r="F49" s="159"/>
      <c r="G49" s="160"/>
      <c r="H49" s="160"/>
      <c r="I49" s="160"/>
      <c r="J49" s="160"/>
      <c r="K49" s="161"/>
      <c r="L49" s="20" t="s">
        <v>71</v>
      </c>
    </row>
    <row r="50" spans="1:12" x14ac:dyDescent="0.25">
      <c r="A50" s="66" t="s">
        <v>1653</v>
      </c>
      <c r="B50" s="143" t="s">
        <v>1564</v>
      </c>
      <c r="C50" s="144"/>
      <c r="D50" s="158"/>
      <c r="E50" s="43">
        <v>389.95</v>
      </c>
      <c r="F50" s="159"/>
      <c r="G50" s="160"/>
      <c r="H50" s="160"/>
      <c r="I50" s="160"/>
      <c r="J50" s="160"/>
      <c r="K50" s="161"/>
      <c r="L50" s="20" t="s">
        <v>71</v>
      </c>
    </row>
    <row r="51" spans="1:12" x14ac:dyDescent="0.25">
      <c r="A51" s="66" t="s">
        <v>389</v>
      </c>
      <c r="B51" s="74"/>
      <c r="C51" s="75" t="s">
        <v>435</v>
      </c>
      <c r="D51" s="76"/>
      <c r="E51" s="43">
        <v>986.23</v>
      </c>
      <c r="F51" s="77"/>
      <c r="G51" s="78"/>
      <c r="H51" s="78"/>
      <c r="I51" s="78"/>
      <c r="J51" s="78"/>
      <c r="K51" s="79"/>
      <c r="L51" s="20" t="s">
        <v>71</v>
      </c>
    </row>
    <row r="52" spans="1:12" x14ac:dyDescent="0.25">
      <c r="A52" s="66" t="s">
        <v>1655</v>
      </c>
      <c r="B52" s="74"/>
      <c r="C52" s="75" t="s">
        <v>1654</v>
      </c>
      <c r="D52" s="76"/>
      <c r="E52" s="43">
        <v>1450.36</v>
      </c>
      <c r="F52" s="77"/>
      <c r="G52" s="78"/>
      <c r="H52" s="78"/>
      <c r="I52" s="78"/>
      <c r="J52" s="78"/>
      <c r="K52" s="79"/>
      <c r="L52" s="20" t="s">
        <v>71</v>
      </c>
    </row>
    <row r="53" spans="1:12" x14ac:dyDescent="0.25">
      <c r="A53" s="66" t="s">
        <v>1657</v>
      </c>
      <c r="B53" s="143" t="s">
        <v>1656</v>
      </c>
      <c r="C53" s="144"/>
      <c r="D53" s="158"/>
      <c r="E53" s="43">
        <v>2357.25</v>
      </c>
      <c r="F53" s="159"/>
      <c r="G53" s="160"/>
      <c r="H53" s="160"/>
      <c r="I53" s="160"/>
      <c r="J53" s="160"/>
      <c r="K53" s="161"/>
      <c r="L53" s="20" t="s">
        <v>71</v>
      </c>
    </row>
    <row r="54" spans="1:12" ht="16.5" thickBot="1" x14ac:dyDescent="0.3">
      <c r="A54" s="66" t="s">
        <v>112</v>
      </c>
      <c r="B54" s="143" t="s">
        <v>111</v>
      </c>
      <c r="C54" s="144"/>
      <c r="D54" s="158"/>
      <c r="E54" s="43">
        <v>3780.78</v>
      </c>
      <c r="F54" s="159"/>
      <c r="G54" s="160"/>
      <c r="H54" s="160"/>
      <c r="I54" s="160"/>
      <c r="J54" s="160"/>
      <c r="K54" s="161"/>
      <c r="L54" s="20" t="s">
        <v>71</v>
      </c>
    </row>
    <row r="55" spans="1:12" ht="16.5" thickBot="1" x14ac:dyDescent="0.3">
      <c r="A55" s="71" t="s">
        <v>458</v>
      </c>
      <c r="B55" s="166" t="s">
        <v>462</v>
      </c>
      <c r="C55" s="167"/>
      <c r="D55" s="168"/>
      <c r="E55" s="36" t="s">
        <v>8</v>
      </c>
      <c r="F55" s="119" t="s">
        <v>15</v>
      </c>
      <c r="G55" s="120"/>
      <c r="H55" s="120"/>
      <c r="I55" s="120"/>
      <c r="J55" s="120"/>
      <c r="K55" s="121"/>
      <c r="L55" s="39" t="s">
        <v>16</v>
      </c>
    </row>
    <row r="56" spans="1:12" x14ac:dyDescent="0.25">
      <c r="A56" s="66"/>
      <c r="B56" s="143"/>
      <c r="C56" s="144">
        <v>802.36</v>
      </c>
      <c r="D56" s="158" t="s">
        <v>18</v>
      </c>
      <c r="E56" s="43"/>
      <c r="F56" s="163"/>
      <c r="G56" s="164"/>
      <c r="H56" s="164"/>
      <c r="I56" s="164"/>
      <c r="J56" s="164"/>
      <c r="K56" s="165"/>
      <c r="L56" s="20"/>
    </row>
    <row r="57" spans="1:12" x14ac:dyDescent="0.25">
      <c r="A57" s="66"/>
      <c r="B57" s="143"/>
      <c r="C57" s="144">
        <v>675.28</v>
      </c>
      <c r="D57" s="158" t="s">
        <v>19</v>
      </c>
      <c r="E57" s="43"/>
      <c r="F57" s="159"/>
      <c r="G57" s="160"/>
      <c r="H57" s="160"/>
      <c r="I57" s="160"/>
      <c r="J57" s="160"/>
      <c r="K57" s="161"/>
      <c r="L57" s="23"/>
    </row>
    <row r="58" spans="1:12" x14ac:dyDescent="0.25">
      <c r="A58" s="66"/>
      <c r="B58" s="143"/>
      <c r="C58" s="144">
        <v>689.72</v>
      </c>
      <c r="D58" s="158" t="s">
        <v>19</v>
      </c>
      <c r="E58" s="43"/>
      <c r="F58" s="159"/>
      <c r="G58" s="160"/>
      <c r="H58" s="160"/>
      <c r="I58" s="160"/>
      <c r="J58" s="160"/>
      <c r="K58" s="161"/>
      <c r="L58" s="23"/>
    </row>
    <row r="59" spans="1:12" ht="16.5" thickBot="1" x14ac:dyDescent="0.3">
      <c r="A59" s="66"/>
      <c r="B59" s="143"/>
      <c r="C59" s="144">
        <v>340.26</v>
      </c>
      <c r="D59" s="158" t="s">
        <v>20</v>
      </c>
      <c r="E59" s="43"/>
      <c r="F59" s="159"/>
      <c r="G59" s="160"/>
      <c r="H59" s="160"/>
      <c r="I59" s="160"/>
      <c r="J59" s="160"/>
      <c r="K59" s="161"/>
      <c r="L59" s="23"/>
    </row>
    <row r="60" spans="1:12" ht="16.5" thickBot="1" x14ac:dyDescent="0.3">
      <c r="A60" s="71" t="s">
        <v>458</v>
      </c>
      <c r="B60" s="166" t="s">
        <v>17</v>
      </c>
      <c r="C60" s="167"/>
      <c r="D60" s="168"/>
      <c r="E60" s="36" t="s">
        <v>8</v>
      </c>
      <c r="F60" s="119" t="s">
        <v>15</v>
      </c>
      <c r="G60" s="120"/>
      <c r="H60" s="120"/>
      <c r="I60" s="120"/>
      <c r="J60" s="120"/>
      <c r="K60" s="121"/>
      <c r="L60" s="39" t="s">
        <v>16</v>
      </c>
    </row>
    <row r="61" spans="1:12" x14ac:dyDescent="0.25">
      <c r="A61" s="66"/>
      <c r="B61" s="128" t="s">
        <v>1619</v>
      </c>
      <c r="C61" s="129"/>
      <c r="D61" s="162"/>
      <c r="E61" s="43">
        <v>4043.29</v>
      </c>
      <c r="F61" s="163"/>
      <c r="G61" s="164"/>
      <c r="H61" s="164"/>
      <c r="I61" s="164"/>
      <c r="J61" s="164"/>
      <c r="K61" s="165"/>
      <c r="L61" s="23" t="s">
        <v>71</v>
      </c>
    </row>
    <row r="62" spans="1:12" x14ac:dyDescent="0.25">
      <c r="A62" s="66"/>
      <c r="B62" s="143" t="s">
        <v>1619</v>
      </c>
      <c r="C62" s="144"/>
      <c r="D62" s="158"/>
      <c r="E62" s="43">
        <v>16397.23</v>
      </c>
      <c r="F62" s="159"/>
      <c r="G62" s="160"/>
      <c r="H62" s="160"/>
      <c r="I62" s="160"/>
      <c r="J62" s="160"/>
      <c r="K62" s="161"/>
      <c r="L62" s="44" t="s">
        <v>71</v>
      </c>
    </row>
    <row r="63" spans="1:12" x14ac:dyDescent="0.25">
      <c r="A63" s="66"/>
      <c r="B63" s="143" t="s">
        <v>76</v>
      </c>
      <c r="C63" s="144"/>
      <c r="D63" s="158"/>
      <c r="E63" s="43">
        <v>3274.81</v>
      </c>
      <c r="F63" s="159"/>
      <c r="G63" s="160"/>
      <c r="H63" s="160"/>
      <c r="I63" s="160"/>
      <c r="J63" s="160"/>
      <c r="K63" s="161"/>
      <c r="L63" s="44" t="s">
        <v>71</v>
      </c>
    </row>
    <row r="64" spans="1:12" x14ac:dyDescent="0.25">
      <c r="A64" s="66"/>
      <c r="B64" s="143"/>
      <c r="C64" s="144"/>
      <c r="D64" s="158"/>
      <c r="E64" s="43"/>
      <c r="F64" s="159"/>
      <c r="G64" s="160"/>
      <c r="H64" s="160"/>
      <c r="I64" s="160"/>
      <c r="J64" s="160"/>
      <c r="K64" s="161"/>
      <c r="L64" s="44"/>
    </row>
    <row r="65" spans="1:12" x14ac:dyDescent="0.25">
      <c r="A65" s="66"/>
      <c r="B65" s="143"/>
      <c r="C65" s="144"/>
      <c r="D65" s="158"/>
      <c r="E65" s="43"/>
      <c r="F65" s="159"/>
      <c r="G65" s="160"/>
      <c r="H65" s="160"/>
      <c r="I65" s="160"/>
      <c r="J65" s="160"/>
      <c r="K65" s="161"/>
      <c r="L65" s="44"/>
    </row>
    <row r="66" spans="1:12" ht="16.5" thickBot="1" x14ac:dyDescent="0.3">
      <c r="A66" s="67"/>
      <c r="B66" s="149"/>
      <c r="C66" s="150"/>
      <c r="D66" s="169"/>
      <c r="E66" s="43"/>
      <c r="F66" s="170"/>
      <c r="G66" s="171"/>
      <c r="H66" s="171"/>
      <c r="I66" s="171"/>
      <c r="J66" s="171"/>
      <c r="K66" s="172"/>
      <c r="L66" s="29"/>
    </row>
    <row r="67" spans="1:12" ht="16.5" thickBot="1" x14ac:dyDescent="0.3">
      <c r="A67" s="70" t="s">
        <v>458</v>
      </c>
      <c r="B67" s="173" t="s">
        <v>463</v>
      </c>
      <c r="C67" s="174"/>
      <c r="D67" s="175"/>
      <c r="E67" s="36" t="s">
        <v>8</v>
      </c>
      <c r="F67" s="119" t="s">
        <v>15</v>
      </c>
      <c r="G67" s="120"/>
      <c r="H67" s="120"/>
      <c r="I67" s="120"/>
      <c r="J67" s="120"/>
      <c r="K67" s="121"/>
      <c r="L67" s="39" t="s">
        <v>16</v>
      </c>
    </row>
    <row r="68" spans="1:12" ht="16.5" thickBot="1" x14ac:dyDescent="0.3">
      <c r="A68" s="17" t="s">
        <v>1630</v>
      </c>
      <c r="B68" s="128" t="s">
        <v>1631</v>
      </c>
      <c r="C68" s="129"/>
      <c r="D68" s="162"/>
      <c r="E68" s="43">
        <v>316.45</v>
      </c>
      <c r="F68" s="163"/>
      <c r="G68" s="164"/>
      <c r="H68" s="164"/>
      <c r="I68" s="164"/>
      <c r="J68" s="164"/>
      <c r="K68" s="165"/>
      <c r="L68" s="23" t="s">
        <v>71</v>
      </c>
    </row>
    <row r="69" spans="1:12" x14ac:dyDescent="0.25">
      <c r="A69" s="17" t="s">
        <v>1632</v>
      </c>
      <c r="B69" s="128" t="s">
        <v>1633</v>
      </c>
      <c r="C69" s="129"/>
      <c r="D69" s="162"/>
      <c r="E69" s="43">
        <v>6922.94</v>
      </c>
      <c r="F69" s="159"/>
      <c r="G69" s="160"/>
      <c r="H69" s="160"/>
      <c r="I69" s="160"/>
      <c r="J69" s="160"/>
      <c r="K69" s="161"/>
      <c r="L69" s="23" t="s">
        <v>71</v>
      </c>
    </row>
    <row r="70" spans="1:12" x14ac:dyDescent="0.25">
      <c r="A70" s="17" t="s">
        <v>433</v>
      </c>
      <c r="B70" s="143" t="s">
        <v>432</v>
      </c>
      <c r="C70" s="144"/>
      <c r="D70" s="158"/>
      <c r="E70" s="43">
        <v>1627.28</v>
      </c>
      <c r="F70" s="159"/>
      <c r="G70" s="160"/>
      <c r="H70" s="160"/>
      <c r="I70" s="160"/>
      <c r="J70" s="160"/>
      <c r="K70" s="161"/>
      <c r="L70" s="23" t="s">
        <v>71</v>
      </c>
    </row>
    <row r="71" spans="1:12" x14ac:dyDescent="0.25">
      <c r="A71" s="17" t="s">
        <v>1634</v>
      </c>
      <c r="B71" s="143" t="s">
        <v>1635</v>
      </c>
      <c r="C71" s="144"/>
      <c r="D71" s="158"/>
      <c r="E71" s="43">
        <v>3779.53</v>
      </c>
      <c r="F71" s="159"/>
      <c r="G71" s="160"/>
      <c r="H71" s="160"/>
      <c r="I71" s="160"/>
      <c r="J71" s="160"/>
      <c r="K71" s="161"/>
      <c r="L71" s="23" t="s">
        <v>71</v>
      </c>
    </row>
    <row r="72" spans="1:12" x14ac:dyDescent="0.25">
      <c r="A72" s="17" t="s">
        <v>1518</v>
      </c>
      <c r="B72" s="143" t="s">
        <v>1636</v>
      </c>
      <c r="C72" s="144"/>
      <c r="D72" s="158"/>
      <c r="E72" s="43">
        <v>1613.04</v>
      </c>
      <c r="F72" s="159"/>
      <c r="G72" s="160"/>
      <c r="H72" s="160"/>
      <c r="I72" s="160"/>
      <c r="J72" s="160"/>
      <c r="K72" s="161"/>
      <c r="L72" s="23" t="s">
        <v>71</v>
      </c>
    </row>
    <row r="73" spans="1:12" x14ac:dyDescent="0.25">
      <c r="A73" s="17" t="s">
        <v>999</v>
      </c>
      <c r="B73" s="143" t="s">
        <v>1637</v>
      </c>
      <c r="C73" s="144"/>
      <c r="D73" s="158"/>
      <c r="E73" s="43">
        <v>2637.79</v>
      </c>
      <c r="F73" s="159"/>
      <c r="G73" s="160"/>
      <c r="H73" s="160"/>
      <c r="I73" s="160"/>
      <c r="J73" s="160"/>
      <c r="K73" s="161"/>
      <c r="L73" s="23" t="s">
        <v>71</v>
      </c>
    </row>
    <row r="74" spans="1:12" x14ac:dyDescent="0.25">
      <c r="A74" s="17" t="s">
        <v>1638</v>
      </c>
      <c r="B74" s="143" t="s">
        <v>1639</v>
      </c>
      <c r="C74" s="144"/>
      <c r="D74" s="158"/>
      <c r="E74" s="43">
        <v>9043.67</v>
      </c>
      <c r="F74" s="159"/>
      <c r="G74" s="160"/>
      <c r="H74" s="160"/>
      <c r="I74" s="160"/>
      <c r="J74" s="160"/>
      <c r="K74" s="161"/>
      <c r="L74" s="23" t="s">
        <v>71</v>
      </c>
    </row>
    <row r="75" spans="1:12" x14ac:dyDescent="0.25">
      <c r="A75" s="17" t="s">
        <v>1640</v>
      </c>
      <c r="B75" s="143" t="s">
        <v>1641</v>
      </c>
      <c r="C75" s="144"/>
      <c r="D75" s="158"/>
      <c r="E75" s="43">
        <v>1196.7</v>
      </c>
      <c r="F75" s="159"/>
      <c r="G75" s="160"/>
      <c r="H75" s="160"/>
      <c r="I75" s="160"/>
      <c r="J75" s="160"/>
      <c r="K75" s="161"/>
      <c r="L75" s="23" t="s">
        <v>71</v>
      </c>
    </row>
    <row r="76" spans="1:12" x14ac:dyDescent="0.25">
      <c r="A76" s="17" t="s">
        <v>1640</v>
      </c>
      <c r="B76" s="143" t="s">
        <v>1641</v>
      </c>
      <c r="C76" s="144"/>
      <c r="D76" s="158"/>
      <c r="E76" s="43">
        <v>218.22</v>
      </c>
      <c r="F76" s="159"/>
      <c r="G76" s="160"/>
      <c r="H76" s="160"/>
      <c r="I76" s="160"/>
      <c r="J76" s="160"/>
      <c r="K76" s="161"/>
      <c r="L76" s="23" t="s">
        <v>71</v>
      </c>
    </row>
    <row r="77" spans="1:12" x14ac:dyDescent="0.25">
      <c r="A77" s="17" t="s">
        <v>1642</v>
      </c>
      <c r="B77" s="143" t="s">
        <v>1643</v>
      </c>
      <c r="C77" s="144"/>
      <c r="D77" s="158"/>
      <c r="E77" s="43">
        <v>2146.8200000000002</v>
      </c>
      <c r="F77" s="159"/>
      <c r="G77" s="160"/>
      <c r="H77" s="160"/>
      <c r="I77" s="160"/>
      <c r="J77" s="160"/>
      <c r="K77" s="161"/>
      <c r="L77" s="17" t="s">
        <v>71</v>
      </c>
    </row>
    <row r="78" spans="1:12" x14ac:dyDescent="0.25">
      <c r="A78" s="17" t="s">
        <v>1645</v>
      </c>
      <c r="B78" s="74"/>
      <c r="C78" s="75" t="s">
        <v>1644</v>
      </c>
      <c r="D78" s="76"/>
      <c r="E78" s="43">
        <v>337.23</v>
      </c>
      <c r="F78" s="77"/>
      <c r="G78" s="78"/>
      <c r="H78" s="78"/>
      <c r="I78" s="78"/>
      <c r="J78" s="78"/>
      <c r="K78" s="79"/>
      <c r="L78" s="17" t="s">
        <v>33</v>
      </c>
    </row>
    <row r="79" spans="1:12" x14ac:dyDescent="0.25">
      <c r="A79" s="17" t="s">
        <v>140</v>
      </c>
      <c r="B79" s="74"/>
      <c r="C79" s="75" t="s">
        <v>1199</v>
      </c>
      <c r="D79" s="76"/>
      <c r="E79" s="43">
        <v>840.28</v>
      </c>
      <c r="F79" s="77"/>
      <c r="G79" s="78"/>
      <c r="H79" s="78"/>
      <c r="I79" s="78"/>
      <c r="J79" s="78"/>
      <c r="K79" s="79"/>
      <c r="L79" s="17" t="s">
        <v>33</v>
      </c>
    </row>
    <row r="80" spans="1:12" x14ac:dyDescent="0.25">
      <c r="A80" s="17" t="s">
        <v>42</v>
      </c>
      <c r="B80" s="74"/>
      <c r="C80" s="75" t="s">
        <v>1198</v>
      </c>
      <c r="D80" s="76"/>
      <c r="E80" s="43">
        <v>371.8</v>
      </c>
      <c r="F80" s="77"/>
      <c r="G80" s="78"/>
      <c r="H80" s="78"/>
      <c r="I80" s="78"/>
      <c r="J80" s="78"/>
      <c r="K80" s="79"/>
      <c r="L80" s="17" t="s">
        <v>33</v>
      </c>
    </row>
    <row r="81" spans="1:12" x14ac:dyDescent="0.25">
      <c r="A81" s="17" t="s">
        <v>1648</v>
      </c>
      <c r="B81" s="74"/>
      <c r="C81" s="75" t="s">
        <v>1647</v>
      </c>
      <c r="D81" s="76"/>
      <c r="E81" s="43">
        <v>502.14</v>
      </c>
      <c r="F81" s="77"/>
      <c r="G81" s="78"/>
      <c r="H81" s="78"/>
      <c r="I81" s="78"/>
      <c r="J81" s="78"/>
      <c r="K81" s="79"/>
      <c r="L81" s="17" t="s">
        <v>33</v>
      </c>
    </row>
    <row r="82" spans="1:12" x14ac:dyDescent="0.25">
      <c r="A82" s="17" t="s">
        <v>107</v>
      </c>
      <c r="B82" s="74"/>
      <c r="C82" s="75" t="s">
        <v>1317</v>
      </c>
      <c r="D82" s="76"/>
      <c r="E82" s="43">
        <v>497.91</v>
      </c>
      <c r="F82" s="77"/>
      <c r="G82" s="78"/>
      <c r="H82" s="78"/>
      <c r="I82" s="78"/>
      <c r="J82" s="78"/>
      <c r="K82" s="79"/>
      <c r="L82" s="17" t="s">
        <v>33</v>
      </c>
    </row>
    <row r="83" spans="1:12" x14ac:dyDescent="0.25">
      <c r="A83" s="17" t="s">
        <v>91</v>
      </c>
      <c r="B83" s="74"/>
      <c r="C83" s="75" t="s">
        <v>1452</v>
      </c>
      <c r="D83" s="76"/>
      <c r="E83" s="43">
        <v>898.96</v>
      </c>
      <c r="F83" s="77"/>
      <c r="G83" s="78"/>
      <c r="H83" s="78"/>
      <c r="I83" s="78"/>
      <c r="J83" s="78"/>
      <c r="K83" s="79"/>
      <c r="L83" s="17" t="s">
        <v>33</v>
      </c>
    </row>
    <row r="84" spans="1:12" x14ac:dyDescent="0.25">
      <c r="A84" s="17" t="s">
        <v>36</v>
      </c>
      <c r="B84" s="74"/>
      <c r="C84" s="75" t="s">
        <v>1649</v>
      </c>
      <c r="D84" s="76"/>
      <c r="E84" s="43">
        <v>679.75</v>
      </c>
      <c r="F84" s="77"/>
      <c r="G84" s="78"/>
      <c r="H84" s="78"/>
      <c r="I84" s="78"/>
      <c r="J84" s="78"/>
      <c r="K84" s="79"/>
      <c r="L84" s="17" t="s">
        <v>33</v>
      </c>
    </row>
    <row r="85" spans="1:12" x14ac:dyDescent="0.25">
      <c r="A85" s="17" t="s">
        <v>1651</v>
      </c>
      <c r="B85" s="74"/>
      <c r="C85" s="75" t="s">
        <v>1650</v>
      </c>
      <c r="D85" s="76"/>
      <c r="E85" s="43">
        <v>2173.16</v>
      </c>
      <c r="F85" s="77"/>
      <c r="G85" s="78"/>
      <c r="H85" s="78"/>
      <c r="I85" s="78"/>
      <c r="J85" s="78"/>
      <c r="K85" s="79"/>
      <c r="L85" s="17" t="s">
        <v>33</v>
      </c>
    </row>
    <row r="86" spans="1:12" x14ac:dyDescent="0.25">
      <c r="A86" s="17" t="s">
        <v>37</v>
      </c>
      <c r="B86" s="74"/>
      <c r="C86" s="75" t="s">
        <v>1652</v>
      </c>
      <c r="D86" s="76"/>
      <c r="E86" s="43">
        <v>314.05</v>
      </c>
      <c r="F86" s="77"/>
      <c r="G86" s="78"/>
      <c r="H86" s="78"/>
      <c r="I86" s="78"/>
      <c r="J86" s="78"/>
      <c r="K86" s="79"/>
      <c r="L86" s="17" t="s">
        <v>33</v>
      </c>
    </row>
    <row r="87" spans="1:12" x14ac:dyDescent="0.25">
      <c r="A87" s="17" t="s">
        <v>80</v>
      </c>
      <c r="B87" s="143" t="s">
        <v>79</v>
      </c>
      <c r="C87" s="144"/>
      <c r="D87" s="158"/>
      <c r="E87" s="43">
        <v>426.14</v>
      </c>
      <c r="F87" s="159"/>
      <c r="G87" s="160"/>
      <c r="H87" s="160"/>
      <c r="I87" s="160"/>
      <c r="J87" s="160"/>
      <c r="K87" s="161"/>
      <c r="L87" s="17" t="s">
        <v>33</v>
      </c>
    </row>
    <row r="88" spans="1:12" x14ac:dyDescent="0.25">
      <c r="A88" s="17" t="s">
        <v>258</v>
      </c>
      <c r="B88" s="74"/>
      <c r="C88" s="75" t="s">
        <v>1276</v>
      </c>
      <c r="D88" s="76"/>
      <c r="E88" s="43">
        <v>1491.27</v>
      </c>
      <c r="F88" s="77"/>
      <c r="G88" s="78"/>
      <c r="H88" s="78"/>
      <c r="I88" s="78"/>
      <c r="J88" s="78"/>
      <c r="K88" s="79"/>
      <c r="L88" s="17" t="s">
        <v>71</v>
      </c>
    </row>
    <row r="89" spans="1:12" x14ac:dyDescent="0.25">
      <c r="A89" s="17" t="s">
        <v>1662</v>
      </c>
      <c r="B89" s="74"/>
      <c r="C89" s="75" t="s">
        <v>1661</v>
      </c>
      <c r="D89" s="76"/>
      <c r="E89" s="43">
        <v>1845.38</v>
      </c>
      <c r="F89" s="77"/>
      <c r="G89" s="78"/>
      <c r="H89" s="78"/>
      <c r="I89" s="78"/>
      <c r="J89" s="78"/>
      <c r="K89" s="79"/>
      <c r="L89" s="17" t="s">
        <v>71</v>
      </c>
    </row>
    <row r="90" spans="1:12" x14ac:dyDescent="0.25">
      <c r="A90" s="17" t="s">
        <v>117</v>
      </c>
      <c r="B90" s="74"/>
      <c r="C90" s="75" t="s">
        <v>1663</v>
      </c>
      <c r="D90" s="76"/>
      <c r="E90" s="43">
        <v>516.34</v>
      </c>
      <c r="F90" s="77"/>
      <c r="G90" s="78"/>
      <c r="H90" s="78"/>
      <c r="I90" s="78"/>
      <c r="J90" s="78"/>
      <c r="K90" s="79"/>
      <c r="L90" s="17" t="s">
        <v>71</v>
      </c>
    </row>
    <row r="91" spans="1:12" x14ac:dyDescent="0.25">
      <c r="A91" s="17" t="s">
        <v>1337</v>
      </c>
      <c r="B91" s="74"/>
      <c r="C91" s="75" t="s">
        <v>1336</v>
      </c>
      <c r="D91" s="76"/>
      <c r="E91" s="43">
        <v>294.63</v>
      </c>
      <c r="F91" s="77"/>
      <c r="G91" s="78"/>
      <c r="H91" s="78"/>
      <c r="I91" s="78"/>
      <c r="J91" s="78"/>
      <c r="K91" s="79"/>
      <c r="L91" s="17" t="s">
        <v>71</v>
      </c>
    </row>
    <row r="92" spans="1:12" x14ac:dyDescent="0.25">
      <c r="A92" s="17" t="s">
        <v>1667</v>
      </c>
      <c r="B92" s="74"/>
      <c r="C92" s="75" t="s">
        <v>314</v>
      </c>
      <c r="D92" s="76"/>
      <c r="E92" s="43">
        <v>428</v>
      </c>
      <c r="F92" s="77"/>
      <c r="G92" s="78"/>
      <c r="H92" s="78"/>
      <c r="I92" s="78"/>
      <c r="J92" s="78"/>
      <c r="K92" s="79"/>
      <c r="L92" s="17" t="s">
        <v>71</v>
      </c>
    </row>
    <row r="93" spans="1:12" x14ac:dyDescent="0.25">
      <c r="A93" s="17" t="s">
        <v>1669</v>
      </c>
      <c r="B93" s="74"/>
      <c r="C93" s="75" t="s">
        <v>1668</v>
      </c>
      <c r="D93" s="76"/>
      <c r="E93" s="43">
        <v>273.61</v>
      </c>
      <c r="F93" s="77"/>
      <c r="G93" s="78"/>
      <c r="H93" s="78"/>
      <c r="I93" s="78"/>
      <c r="J93" s="78"/>
      <c r="K93" s="79"/>
      <c r="L93" s="17" t="s">
        <v>71</v>
      </c>
    </row>
    <row r="94" spans="1:12" x14ac:dyDescent="0.25">
      <c r="A94" s="17" t="s">
        <v>1671</v>
      </c>
      <c r="B94" s="143" t="s">
        <v>1670</v>
      </c>
      <c r="C94" s="144"/>
      <c r="D94" s="158"/>
      <c r="E94" s="43">
        <v>317.88</v>
      </c>
      <c r="F94" s="159"/>
      <c r="G94" s="160"/>
      <c r="H94" s="160"/>
      <c r="I94" s="160"/>
      <c r="J94" s="160"/>
      <c r="K94" s="161"/>
      <c r="L94" s="17" t="s">
        <v>71</v>
      </c>
    </row>
    <row r="95" spans="1:12" ht="16.5" thickBot="1" x14ac:dyDescent="0.3">
      <c r="A95" s="26" t="s">
        <v>112</v>
      </c>
      <c r="B95" s="149" t="s">
        <v>111</v>
      </c>
      <c r="C95" s="150"/>
      <c r="D95" s="169"/>
      <c r="E95" s="45">
        <v>3780.78</v>
      </c>
      <c r="F95" s="170"/>
      <c r="G95" s="171"/>
      <c r="H95" s="171"/>
      <c r="I95" s="171"/>
      <c r="J95" s="171"/>
      <c r="K95" s="172"/>
      <c r="L95" s="26" t="s">
        <v>71</v>
      </c>
    </row>
    <row r="96" spans="1:12" x14ac:dyDescent="0.25">
      <c r="A96" s="68"/>
      <c r="B96" s="69"/>
      <c r="C96" s="46"/>
      <c r="D96" s="46"/>
      <c r="F96" s="47"/>
      <c r="G96" s="47"/>
      <c r="H96" s="47"/>
      <c r="I96" s="47"/>
      <c r="J96" s="47"/>
      <c r="K96" s="47"/>
    </row>
    <row r="97" spans="2:11" x14ac:dyDescent="0.25">
      <c r="B97" s="176" t="s">
        <v>464</v>
      </c>
      <c r="C97" s="176"/>
      <c r="D97" s="176"/>
      <c r="E97" s="6">
        <f>SUM(E39:E47)</f>
        <v>2146.6600000000003</v>
      </c>
      <c r="F97" s="6"/>
      <c r="G97" s="6"/>
      <c r="H97" s="6"/>
      <c r="I97" s="6"/>
      <c r="J97" s="6"/>
      <c r="K97" s="6"/>
    </row>
    <row r="98" spans="2:11" x14ac:dyDescent="0.25">
      <c r="B98" s="176" t="s">
        <v>465</v>
      </c>
      <c r="C98" s="176"/>
      <c r="D98" s="176"/>
      <c r="E98" s="6">
        <f>SUM(E20:E37)</f>
        <v>1070.6499999999999</v>
      </c>
    </row>
    <row r="99" spans="2:11" x14ac:dyDescent="0.25">
      <c r="B99" s="176" t="s">
        <v>466</v>
      </c>
      <c r="C99" s="176"/>
      <c r="D99" s="176"/>
      <c r="E99" s="6">
        <f>SUM(E49:E59)</f>
        <v>11979.13</v>
      </c>
    </row>
    <row r="104" spans="2:11" ht="18.75" x14ac:dyDescent="0.3">
      <c r="B104" s="48"/>
    </row>
  </sheetData>
  <mergeCells count="145">
    <mergeCell ref="B95:D95"/>
    <mergeCell ref="F95:K95"/>
    <mergeCell ref="B97:D97"/>
    <mergeCell ref="B98:D98"/>
    <mergeCell ref="B99:D99"/>
    <mergeCell ref="B77:D77"/>
    <mergeCell ref="F77:K77"/>
    <mergeCell ref="B87:D87"/>
    <mergeCell ref="F87:K87"/>
    <mergeCell ref="B94:D94"/>
    <mergeCell ref="F94:K94"/>
    <mergeCell ref="B74:D74"/>
    <mergeCell ref="F74:K74"/>
    <mergeCell ref="B75:D75"/>
    <mergeCell ref="F75:K75"/>
    <mergeCell ref="B76:D76"/>
    <mergeCell ref="F76:K76"/>
    <mergeCell ref="B71:D71"/>
    <mergeCell ref="F71:K71"/>
    <mergeCell ref="B72:D72"/>
    <mergeCell ref="F72:K72"/>
    <mergeCell ref="B73:D73"/>
    <mergeCell ref="F73:K73"/>
    <mergeCell ref="B68:D68"/>
    <mergeCell ref="F68:K68"/>
    <mergeCell ref="B69:D69"/>
    <mergeCell ref="F69:K69"/>
    <mergeCell ref="B70:D70"/>
    <mergeCell ref="F70:K70"/>
    <mergeCell ref="B65:D65"/>
    <mergeCell ref="F65:K65"/>
    <mergeCell ref="B66:D66"/>
    <mergeCell ref="F66:K66"/>
    <mergeCell ref="B67:D67"/>
    <mergeCell ref="F67:K67"/>
    <mergeCell ref="B62:D62"/>
    <mergeCell ref="F62:K62"/>
    <mergeCell ref="B63:D63"/>
    <mergeCell ref="F63:K63"/>
    <mergeCell ref="B64:D64"/>
    <mergeCell ref="F64:K64"/>
    <mergeCell ref="B59:D59"/>
    <mergeCell ref="F59:K59"/>
    <mergeCell ref="B60:D60"/>
    <mergeCell ref="F60:K60"/>
    <mergeCell ref="B61:D61"/>
    <mergeCell ref="F61:K61"/>
    <mergeCell ref="B56:D56"/>
    <mergeCell ref="F56:K56"/>
    <mergeCell ref="B57:D57"/>
    <mergeCell ref="F57:K57"/>
    <mergeCell ref="B58:D58"/>
    <mergeCell ref="F58:K58"/>
    <mergeCell ref="B53:D53"/>
    <mergeCell ref="F53:K53"/>
    <mergeCell ref="B54:D54"/>
    <mergeCell ref="F54:K54"/>
    <mergeCell ref="B55:D55"/>
    <mergeCell ref="F55:K55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</mergeCells>
  <conditionalFormatting sqref="A18:A19">
    <cfRule type="cellIs" dxfId="69" priority="4" stopIfTrue="1" operator="equal">
      <formula>"OK"</formula>
    </cfRule>
  </conditionalFormatting>
  <conditionalFormatting sqref="A102:XFD1048576">
    <cfRule type="cellIs" dxfId="68" priority="16" stopIfTrue="1" operator="equal">
      <formula>"OK"</formula>
    </cfRule>
  </conditionalFormatting>
  <conditionalFormatting sqref="B49:B54 B20:H37">
    <cfRule type="expression" dxfId="67" priority="23">
      <formula>$J20="ancien paiement"</formula>
    </cfRule>
  </conditionalFormatting>
  <conditionalFormatting sqref="B62 E62:F62 B69:D69 E69:F70 B70 B71:K71 B72 E72:F72 E64:F64 B64 B73:K95">
    <cfRule type="expression" dxfId="66" priority="22">
      <formula>$F62="ancien paiement"</formula>
    </cfRule>
    <cfRule type="expression" dxfId="65" priority="24">
      <formula>$J62="ancien paiement"</formula>
    </cfRule>
  </conditionalFormatting>
  <conditionalFormatting sqref="B62 E62:F62 B69:D69 E69:F70 B70 B71:XFD71 B72 E72:F72 B19:H37 B38:XFD47 B65:XFD68 B60:XFD61 B1:J1 M1:XFD1 A2:XFD2 E3 G3:I3 M3:XFD3 B3:D6 K4 P4:XFD7 K5:L7 B7:I7 B8:D8 F8 I8 M8:XFD8 L9:XFD16 A17:XFD17 M18:XFD18 L19:XFD37 M48:XFD59 L62:XFD62 L69:XFD70 L72:XFD72 L64:XFD64 E64:F64 B64 B73:XFD101">
    <cfRule type="cellIs" dxfId="64" priority="25" stopIfTrue="1" operator="equal">
      <formula>"OK"</formula>
    </cfRule>
  </conditionalFormatting>
  <conditionalFormatting sqref="B9:I16">
    <cfRule type="cellIs" dxfId="63" priority="14" stopIfTrue="1" operator="equal">
      <formula>"OK"</formula>
    </cfRule>
  </conditionalFormatting>
  <conditionalFormatting sqref="B39:K39">
    <cfRule type="expression" dxfId="62" priority="21">
      <formula>$J39="ancien paiement"</formula>
    </cfRule>
  </conditionalFormatting>
  <conditionalFormatting sqref="B39:K48 B49:B54">
    <cfRule type="expression" dxfId="61" priority="8">
      <formula>$F39="ancien paiement"</formula>
    </cfRule>
  </conditionalFormatting>
  <conditionalFormatting sqref="B41:K48">
    <cfRule type="expression" dxfId="60" priority="9">
      <formula>$J41="ancien paiement"</formula>
    </cfRule>
  </conditionalFormatting>
  <conditionalFormatting sqref="B56:K61">
    <cfRule type="expression" dxfId="59" priority="10">
      <formula>$F56="ancien paiement"</formula>
    </cfRule>
    <cfRule type="expression" dxfId="58" priority="11">
      <formula>$J56="ancien paiement"</formula>
    </cfRule>
  </conditionalFormatting>
  <conditionalFormatting sqref="B65:K66">
    <cfRule type="expression" dxfId="57" priority="19">
      <formula>$F65="ancien paiement"</formula>
    </cfRule>
    <cfRule type="expression" dxfId="56" priority="20">
      <formula>$J65="ancien paiement"</formula>
    </cfRule>
  </conditionalFormatting>
  <conditionalFormatting sqref="B68:K68">
    <cfRule type="expression" dxfId="55" priority="17">
      <formula>$F68="ancien paiement"</formula>
    </cfRule>
    <cfRule type="expression" dxfId="54" priority="18">
      <formula>$J68="ancien paiement"</formula>
    </cfRule>
  </conditionalFormatting>
  <conditionalFormatting sqref="B53:L59 B48:L49 B50:D52">
    <cfRule type="cellIs" dxfId="53" priority="12" stopIfTrue="1" operator="equal">
      <formula>"OK"</formula>
    </cfRule>
  </conditionalFormatting>
  <conditionalFormatting sqref="E49">
    <cfRule type="expression" dxfId="52" priority="13">
      <formula>#REF!="ancien paiement"</formula>
    </cfRule>
  </conditionalFormatting>
  <conditionalFormatting sqref="E49:F54">
    <cfRule type="expression" dxfId="51" priority="5">
      <formula>$F49="ancien paiement"</formula>
    </cfRule>
    <cfRule type="expression" dxfId="50" priority="6">
      <formula>$J49="ancien paiement"</formula>
    </cfRule>
  </conditionalFormatting>
  <conditionalFormatting sqref="E4:I6">
    <cfRule type="cellIs" dxfId="49" priority="15" stopIfTrue="1" operator="equal">
      <formula>"OK"</formula>
    </cfRule>
  </conditionalFormatting>
  <conditionalFormatting sqref="E50:L52">
    <cfRule type="cellIs" dxfId="48" priority="7" stopIfTrue="1" operator="equal">
      <formula>"OK"</formula>
    </cfRule>
  </conditionalFormatting>
  <conditionalFormatting sqref="B63:XFD63">
    <cfRule type="cellIs" dxfId="47" priority="3" stopIfTrue="1" operator="equal">
      <formula>"OK"</formula>
    </cfRule>
  </conditionalFormatting>
  <conditionalFormatting sqref="B63:K63">
    <cfRule type="expression" dxfId="46" priority="1">
      <formula>$F63="ancien paiement"</formula>
    </cfRule>
    <cfRule type="expression" dxfId="45" priority="2">
      <formula>$J63="ancien paiement"</formula>
    </cfRule>
  </conditionalFormatting>
  <pageMargins left="0.7" right="0.7" top="0.75" bottom="0.75" header="0.3" footer="0.3"/>
  <pageSetup paperSize="9" scale="46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8F68-F35C-4E53-BC36-F79D97AA21D4}">
  <sheetPr>
    <pageSetUpPr fitToPage="1"/>
  </sheetPr>
  <dimension ref="A1:N94"/>
  <sheetViews>
    <sheetView tabSelected="1" workbookViewId="0">
      <selection activeCell="G4" sqref="G4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>
        <v>46142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G3" s="1" t="s">
        <v>1704</v>
      </c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>
        <v>6920</v>
      </c>
      <c r="G4" s="1" t="s">
        <v>1697</v>
      </c>
      <c r="I4" s="112" t="s">
        <v>3</v>
      </c>
      <c r="J4" s="113"/>
      <c r="K4" s="114">
        <f>E87+C14</f>
        <v>6924.46</v>
      </c>
      <c r="L4" s="115"/>
      <c r="N4" s="6"/>
    </row>
    <row r="5" spans="2:14" ht="16.5" thickBot="1" x14ac:dyDescent="0.3">
      <c r="E5" s="7" t="s">
        <v>4</v>
      </c>
      <c r="F5" s="8">
        <v>5901.45</v>
      </c>
      <c r="G5" s="1" t="s">
        <v>1698</v>
      </c>
      <c r="I5" s="95" t="s">
        <v>5</v>
      </c>
      <c r="J5" s="96"/>
      <c r="K5" s="97">
        <f>E15+E88</f>
        <v>5901.45</v>
      </c>
      <c r="L5" s="98"/>
      <c r="N5" s="6"/>
    </row>
    <row r="6" spans="2:14" ht="16.5" thickBot="1" x14ac:dyDescent="0.3">
      <c r="E6" s="9" t="s">
        <v>445</v>
      </c>
      <c r="F6" s="85">
        <v>4.46</v>
      </c>
      <c r="I6" s="95" t="s">
        <v>446</v>
      </c>
      <c r="J6" s="96"/>
      <c r="K6" s="97">
        <f>G15+E89</f>
        <v>17128.330000000002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>
        <v>2950</v>
      </c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>
        <v>1920</v>
      </c>
      <c r="D10" s="19" t="s">
        <v>161</v>
      </c>
      <c r="E10" s="49">
        <v>719.42</v>
      </c>
      <c r="F10" s="20" t="s">
        <v>9</v>
      </c>
      <c r="G10" s="21">
        <v>17128.330000000002</v>
      </c>
      <c r="H10" s="6"/>
      <c r="I10" s="137" t="s">
        <v>1283</v>
      </c>
      <c r="J10" s="138"/>
      <c r="K10" s="139"/>
      <c r="L10" s="21">
        <v>240</v>
      </c>
    </row>
    <row r="11" spans="2:14" ht="21.6" customHeight="1" x14ac:dyDescent="0.25">
      <c r="B11" s="17" t="s">
        <v>453</v>
      </c>
      <c r="C11" s="18">
        <v>870</v>
      </c>
      <c r="D11" s="22" t="s">
        <v>1282</v>
      </c>
      <c r="E11" s="50">
        <v>412.86</v>
      </c>
      <c r="F11" s="23" t="s">
        <v>454</v>
      </c>
      <c r="G11" s="24"/>
      <c r="H11" s="6"/>
      <c r="I11" s="140" t="s">
        <v>1700</v>
      </c>
      <c r="J11" s="141"/>
      <c r="K11" s="142"/>
      <c r="L11" s="21">
        <v>140</v>
      </c>
    </row>
    <row r="12" spans="2:14" ht="21.6" customHeight="1" x14ac:dyDescent="0.25">
      <c r="B12" s="17" t="s">
        <v>455</v>
      </c>
      <c r="C12" s="18"/>
      <c r="D12" s="22" t="s">
        <v>1696</v>
      </c>
      <c r="E12" s="50">
        <v>283.01</v>
      </c>
      <c r="F12" s="23"/>
      <c r="G12" s="24"/>
      <c r="H12" s="6"/>
      <c r="I12" s="140" t="s">
        <v>1701</v>
      </c>
      <c r="J12" s="141"/>
      <c r="K12" s="142"/>
      <c r="L12" s="24">
        <v>70</v>
      </c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 t="s">
        <v>1702</v>
      </c>
      <c r="J13" s="141"/>
      <c r="K13" s="142"/>
      <c r="L13" s="24">
        <v>50</v>
      </c>
    </row>
    <row r="14" spans="2:14" ht="23.85" customHeight="1" x14ac:dyDescent="0.25">
      <c r="B14" s="25" t="s">
        <v>11</v>
      </c>
      <c r="C14" s="18">
        <f>SUM(C9:C13)</f>
        <v>5740</v>
      </c>
      <c r="D14" s="22"/>
      <c r="E14" s="50"/>
      <c r="F14" s="23"/>
      <c r="G14" s="24"/>
      <c r="H14" s="6"/>
      <c r="I14" s="140" t="s">
        <v>1703</v>
      </c>
      <c r="J14" s="141"/>
      <c r="K14" s="142"/>
      <c r="L14" s="24">
        <v>477.32</v>
      </c>
    </row>
    <row r="15" spans="2:14" ht="24.6" customHeight="1" thickBot="1" x14ac:dyDescent="0.3">
      <c r="B15" s="26" t="s">
        <v>456</v>
      </c>
      <c r="C15" s="27">
        <v>611</v>
      </c>
      <c r="D15" s="28" t="s">
        <v>11</v>
      </c>
      <c r="E15" s="29">
        <f>SUM(E10:E14)</f>
        <v>1415.29</v>
      </c>
      <c r="F15" s="30" t="s">
        <v>11</v>
      </c>
      <c r="G15" s="31">
        <f>SUM(G10:G14)</f>
        <v>17128.330000000002</v>
      </c>
      <c r="H15" s="6"/>
      <c r="I15" s="116" t="s">
        <v>457</v>
      </c>
      <c r="J15" s="117"/>
      <c r="K15" s="118"/>
      <c r="L15" s="32">
        <f>C15-'29'!C15</f>
        <v>-26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-951.31999999999994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 t="s">
        <v>110</v>
      </c>
      <c r="B20" s="128" t="s">
        <v>109</v>
      </c>
      <c r="C20" s="129"/>
      <c r="D20" s="130"/>
      <c r="E20" s="20">
        <v>940.8</v>
      </c>
      <c r="F20" s="12" t="s">
        <v>75</v>
      </c>
      <c r="G20" s="51">
        <v>154</v>
      </c>
      <c r="H20" s="131"/>
      <c r="I20" s="132"/>
      <c r="J20" s="132"/>
      <c r="K20" s="133"/>
      <c r="L20" s="20" t="s">
        <v>33</v>
      </c>
    </row>
    <row r="21" spans="1:12" x14ac:dyDescent="0.25">
      <c r="A21" s="66" t="s">
        <v>982</v>
      </c>
      <c r="B21" s="143" t="s">
        <v>1479</v>
      </c>
      <c r="C21" s="144"/>
      <c r="D21" s="145"/>
      <c r="E21" s="20">
        <v>557.4</v>
      </c>
      <c r="F21" s="23" t="s">
        <v>46</v>
      </c>
      <c r="G21" s="52">
        <v>33885379</v>
      </c>
      <c r="H21" s="146"/>
      <c r="I21" s="147"/>
      <c r="J21" s="147"/>
      <c r="K21" s="148"/>
      <c r="L21" s="23" t="s">
        <v>33</v>
      </c>
    </row>
    <row r="22" spans="1:12" x14ac:dyDescent="0.25">
      <c r="A22" s="66" t="s">
        <v>211</v>
      </c>
      <c r="B22" s="143" t="s">
        <v>210</v>
      </c>
      <c r="C22" s="144"/>
      <c r="D22" s="145"/>
      <c r="E22" s="20">
        <v>257.23</v>
      </c>
      <c r="F22" s="23" t="s">
        <v>56</v>
      </c>
      <c r="G22" s="52">
        <v>9427208</v>
      </c>
      <c r="H22" s="146"/>
      <c r="I22" s="147"/>
      <c r="J22" s="147"/>
      <c r="K22" s="148"/>
      <c r="L22" s="23" t="s">
        <v>33</v>
      </c>
    </row>
    <row r="23" spans="1:12" x14ac:dyDescent="0.25">
      <c r="A23" s="66" t="s">
        <v>1687</v>
      </c>
      <c r="B23" s="143" t="s">
        <v>1686</v>
      </c>
      <c r="C23" s="144"/>
      <c r="D23" s="145"/>
      <c r="E23" s="20">
        <v>330.4</v>
      </c>
      <c r="F23" s="23" t="s">
        <v>75</v>
      </c>
      <c r="G23" s="52">
        <v>8</v>
      </c>
      <c r="H23" s="146"/>
      <c r="I23" s="147"/>
      <c r="J23" s="147"/>
      <c r="K23" s="148"/>
      <c r="L23" s="23" t="s">
        <v>33</v>
      </c>
    </row>
    <row r="24" spans="1:12" x14ac:dyDescent="0.25">
      <c r="A24" s="66" t="s">
        <v>285</v>
      </c>
      <c r="B24" s="143" t="s">
        <v>1422</v>
      </c>
      <c r="C24" s="144"/>
      <c r="D24" s="145"/>
      <c r="E24" s="20">
        <v>506.27</v>
      </c>
      <c r="F24" s="23" t="s">
        <v>56</v>
      </c>
      <c r="G24" s="52">
        <v>8704972</v>
      </c>
      <c r="H24" s="146"/>
      <c r="I24" s="147"/>
      <c r="J24" s="147"/>
      <c r="K24" s="148"/>
      <c r="L24" s="23" t="s">
        <v>33</v>
      </c>
    </row>
    <row r="25" spans="1:12" x14ac:dyDescent="0.25">
      <c r="A25" s="66" t="s">
        <v>285</v>
      </c>
      <c r="B25" s="143" t="s">
        <v>1422</v>
      </c>
      <c r="C25" s="144"/>
      <c r="D25" s="145"/>
      <c r="E25" s="20">
        <v>513.63</v>
      </c>
      <c r="F25" s="23" t="s">
        <v>56</v>
      </c>
      <c r="G25" s="52">
        <v>8704971</v>
      </c>
      <c r="H25" s="146"/>
      <c r="I25" s="147"/>
      <c r="J25" s="147"/>
      <c r="K25" s="148"/>
      <c r="L25" s="23" t="s">
        <v>33</v>
      </c>
    </row>
    <row r="26" spans="1:12" x14ac:dyDescent="0.25">
      <c r="A26" s="66" t="s">
        <v>154</v>
      </c>
      <c r="B26" s="143" t="s">
        <v>1145</v>
      </c>
      <c r="C26" s="144"/>
      <c r="D26" s="145"/>
      <c r="E26" s="20">
        <v>473.93</v>
      </c>
      <c r="F26" s="23" t="s">
        <v>75</v>
      </c>
      <c r="G26" s="52">
        <v>81</v>
      </c>
      <c r="H26" s="146"/>
      <c r="I26" s="147"/>
      <c r="J26" s="147"/>
      <c r="K26" s="148"/>
      <c r="L26" s="23" t="s">
        <v>33</v>
      </c>
    </row>
    <row r="27" spans="1:12" x14ac:dyDescent="0.25">
      <c r="A27" s="66" t="s">
        <v>63</v>
      </c>
      <c r="B27" s="143" t="s">
        <v>1692</v>
      </c>
      <c r="C27" s="144"/>
      <c r="D27" s="145"/>
      <c r="E27" s="20">
        <v>633</v>
      </c>
      <c r="F27" s="23" t="s">
        <v>56</v>
      </c>
      <c r="G27" s="52">
        <v>2693025</v>
      </c>
      <c r="H27" s="146"/>
      <c r="I27" s="147"/>
      <c r="J27" s="147"/>
      <c r="K27" s="148"/>
      <c r="L27" s="23" t="s">
        <v>33</v>
      </c>
    </row>
    <row r="28" spans="1:12" x14ac:dyDescent="0.25">
      <c r="A28" s="66" t="s">
        <v>201</v>
      </c>
      <c r="B28" s="143" t="s">
        <v>1182</v>
      </c>
      <c r="C28" s="144"/>
      <c r="D28" s="145"/>
      <c r="E28" s="20">
        <v>273.5</v>
      </c>
      <c r="F28" s="23" t="s">
        <v>44</v>
      </c>
      <c r="G28" s="52">
        <v>2722690</v>
      </c>
      <c r="H28" s="146"/>
      <c r="I28" s="147"/>
      <c r="J28" s="147"/>
      <c r="K28" s="148"/>
      <c r="L28" s="23" t="s">
        <v>33</v>
      </c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 t="s">
        <v>1417</v>
      </c>
      <c r="B39" s="128" t="s">
        <v>1416</v>
      </c>
      <c r="C39" s="129"/>
      <c r="D39" s="162"/>
      <c r="E39" s="41">
        <v>700.57</v>
      </c>
      <c r="F39" s="163"/>
      <c r="G39" s="164"/>
      <c r="H39" s="164"/>
      <c r="I39" s="164"/>
      <c r="J39" s="164"/>
      <c r="K39" s="165"/>
      <c r="L39" s="42" t="s">
        <v>33</v>
      </c>
    </row>
    <row r="40" spans="1:12" x14ac:dyDescent="0.25">
      <c r="A40" s="66" t="s">
        <v>1259</v>
      </c>
      <c r="B40" s="143" t="s">
        <v>1258</v>
      </c>
      <c r="C40" s="144"/>
      <c r="D40" s="158"/>
      <c r="E40" s="43">
        <v>363.89</v>
      </c>
      <c r="F40" s="159"/>
      <c r="G40" s="160"/>
      <c r="H40" s="160"/>
      <c r="I40" s="160"/>
      <c r="J40" s="160"/>
      <c r="K40" s="161"/>
      <c r="L40" s="23" t="s">
        <v>33</v>
      </c>
    </row>
    <row r="41" spans="1:12" x14ac:dyDescent="0.25">
      <c r="A41" s="66"/>
      <c r="B41" s="143" t="s">
        <v>318</v>
      </c>
      <c r="C41" s="144"/>
      <c r="D41" s="158"/>
      <c r="E41" s="43">
        <v>120</v>
      </c>
      <c r="F41" s="159" t="s">
        <v>1693</v>
      </c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 t="s">
        <v>1699</v>
      </c>
      <c r="C49" s="144"/>
      <c r="D49" s="158"/>
      <c r="E49" s="43"/>
      <c r="F49" s="159">
        <v>236.35</v>
      </c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 t="s">
        <v>1679</v>
      </c>
      <c r="B66" s="128" t="s">
        <v>1678</v>
      </c>
      <c r="C66" s="129"/>
      <c r="D66" s="162"/>
      <c r="E66" s="43">
        <v>801.8</v>
      </c>
      <c r="F66" s="163"/>
      <c r="G66" s="164"/>
      <c r="H66" s="164"/>
      <c r="I66" s="164"/>
      <c r="J66" s="164"/>
      <c r="K66" s="165"/>
      <c r="L66" s="23" t="s">
        <v>33</v>
      </c>
    </row>
    <row r="67" spans="1:12" x14ac:dyDescent="0.25">
      <c r="A67" s="17" t="s">
        <v>1681</v>
      </c>
      <c r="B67" s="128" t="s">
        <v>1680</v>
      </c>
      <c r="C67" s="129"/>
      <c r="D67" s="162"/>
      <c r="E67" s="43">
        <v>537.02</v>
      </c>
      <c r="F67" s="159"/>
      <c r="G67" s="160"/>
      <c r="H67" s="160"/>
      <c r="I67" s="160"/>
      <c r="J67" s="160"/>
      <c r="K67" s="161"/>
      <c r="L67" s="23" t="s">
        <v>33</v>
      </c>
    </row>
    <row r="68" spans="1:12" x14ac:dyDescent="0.25">
      <c r="A68" s="17" t="s">
        <v>1683</v>
      </c>
      <c r="B68" s="143" t="s">
        <v>1682</v>
      </c>
      <c r="C68" s="144"/>
      <c r="D68" s="158"/>
      <c r="E68" s="43">
        <v>360.03</v>
      </c>
      <c r="F68" s="159"/>
      <c r="G68" s="160"/>
      <c r="H68" s="160"/>
      <c r="I68" s="160"/>
      <c r="J68" s="160"/>
      <c r="K68" s="161"/>
      <c r="L68" s="23" t="s">
        <v>33</v>
      </c>
    </row>
    <row r="69" spans="1:12" x14ac:dyDescent="0.25">
      <c r="A69" s="17" t="s">
        <v>187</v>
      </c>
      <c r="B69" s="143" t="s">
        <v>186</v>
      </c>
      <c r="C69" s="144"/>
      <c r="D69" s="158"/>
      <c r="E69" s="43">
        <v>413.26</v>
      </c>
      <c r="F69" s="159"/>
      <c r="G69" s="160"/>
      <c r="H69" s="160"/>
      <c r="I69" s="160"/>
      <c r="J69" s="160"/>
      <c r="K69" s="161"/>
      <c r="L69" s="23" t="s">
        <v>33</v>
      </c>
    </row>
    <row r="70" spans="1:12" x14ac:dyDescent="0.25">
      <c r="A70" s="17" t="s">
        <v>209</v>
      </c>
      <c r="B70" s="143" t="s">
        <v>1684</v>
      </c>
      <c r="C70" s="144"/>
      <c r="D70" s="158"/>
      <c r="E70" s="43">
        <v>263.87</v>
      </c>
      <c r="F70" s="159"/>
      <c r="G70" s="160"/>
      <c r="H70" s="160"/>
      <c r="I70" s="160"/>
      <c r="J70" s="160"/>
      <c r="K70" s="161"/>
      <c r="L70" s="23" t="s">
        <v>33</v>
      </c>
    </row>
    <row r="71" spans="1:12" x14ac:dyDescent="0.25">
      <c r="A71" s="17" t="s">
        <v>296</v>
      </c>
      <c r="B71" s="143" t="s">
        <v>1685</v>
      </c>
      <c r="C71" s="144"/>
      <c r="D71" s="158"/>
      <c r="E71" s="43">
        <v>516.52</v>
      </c>
      <c r="F71" s="159"/>
      <c r="G71" s="160"/>
      <c r="H71" s="160"/>
      <c r="I71" s="160"/>
      <c r="J71" s="160"/>
      <c r="K71" s="161"/>
      <c r="L71" s="23" t="s">
        <v>33</v>
      </c>
    </row>
    <row r="72" spans="1:12" x14ac:dyDescent="0.25">
      <c r="A72" s="17" t="s">
        <v>423</v>
      </c>
      <c r="B72" s="74"/>
      <c r="C72" s="75" t="s">
        <v>111</v>
      </c>
      <c r="D72" s="76"/>
      <c r="E72" s="43">
        <v>3014.56</v>
      </c>
      <c r="F72" s="77"/>
      <c r="G72" s="78"/>
      <c r="H72" s="78"/>
      <c r="I72" s="78"/>
      <c r="J72" s="78"/>
      <c r="K72" s="79"/>
      <c r="L72" s="23" t="s">
        <v>33</v>
      </c>
    </row>
    <row r="73" spans="1:12" x14ac:dyDescent="0.25">
      <c r="A73" s="17" t="s">
        <v>1689</v>
      </c>
      <c r="B73" s="74"/>
      <c r="C73" s="75" t="s">
        <v>1688</v>
      </c>
      <c r="D73" s="76"/>
      <c r="E73" s="43">
        <v>303.52999999999997</v>
      </c>
      <c r="F73" s="77"/>
      <c r="G73" s="78"/>
      <c r="H73" s="78"/>
      <c r="I73" s="78"/>
      <c r="J73" s="78"/>
      <c r="K73" s="79"/>
      <c r="L73" s="23" t="s">
        <v>33</v>
      </c>
    </row>
    <row r="74" spans="1:12" x14ac:dyDescent="0.25">
      <c r="A74" s="17" t="s">
        <v>1691</v>
      </c>
      <c r="B74" s="74"/>
      <c r="C74" s="75" t="s">
        <v>1690</v>
      </c>
      <c r="D74" s="76"/>
      <c r="E74" s="43">
        <v>329.73</v>
      </c>
      <c r="F74" s="77"/>
      <c r="G74" s="78"/>
      <c r="H74" s="78"/>
      <c r="I74" s="78"/>
      <c r="J74" s="78"/>
      <c r="K74" s="79"/>
      <c r="L74" s="23" t="s">
        <v>33</v>
      </c>
    </row>
    <row r="75" spans="1:12" x14ac:dyDescent="0.25">
      <c r="A75" s="17" t="s">
        <v>196</v>
      </c>
      <c r="B75" s="74"/>
      <c r="C75" s="75" t="s">
        <v>1179</v>
      </c>
      <c r="D75" s="76"/>
      <c r="E75" s="43">
        <v>2217.34</v>
      </c>
      <c r="F75" s="77"/>
      <c r="G75" s="78"/>
      <c r="H75" s="78"/>
      <c r="I75" s="78"/>
      <c r="J75" s="78"/>
      <c r="K75" s="79"/>
      <c r="L75" s="23" t="s">
        <v>33</v>
      </c>
    </row>
    <row r="76" spans="1:12" x14ac:dyDescent="0.25">
      <c r="A76" s="17" t="s">
        <v>1189</v>
      </c>
      <c r="B76" s="74"/>
      <c r="C76" s="75" t="s">
        <v>234</v>
      </c>
      <c r="D76" s="76"/>
      <c r="E76" s="43">
        <v>323.35000000000002</v>
      </c>
      <c r="F76" s="77"/>
      <c r="G76" s="78"/>
      <c r="H76" s="78"/>
      <c r="I76" s="78"/>
      <c r="J76" s="78"/>
      <c r="K76" s="79"/>
      <c r="L76" s="23" t="s">
        <v>33</v>
      </c>
    </row>
    <row r="77" spans="1:12" x14ac:dyDescent="0.25">
      <c r="A77" s="17" t="s">
        <v>193</v>
      </c>
      <c r="B77" s="74"/>
      <c r="C77" s="75" t="s">
        <v>1139</v>
      </c>
      <c r="D77" s="76"/>
      <c r="E77" s="43">
        <v>1209.8499999999999</v>
      </c>
      <c r="F77" s="77"/>
      <c r="G77" s="78"/>
      <c r="H77" s="78"/>
      <c r="I77" s="78"/>
      <c r="J77" s="78"/>
      <c r="K77" s="79"/>
      <c r="L77" s="23" t="s">
        <v>33</v>
      </c>
    </row>
    <row r="78" spans="1:12" x14ac:dyDescent="0.25">
      <c r="A78" s="17" t="s">
        <v>1558</v>
      </c>
      <c r="B78" s="74"/>
      <c r="C78" s="75" t="s">
        <v>1557</v>
      </c>
      <c r="D78" s="76"/>
      <c r="E78" s="43">
        <v>2782.88</v>
      </c>
      <c r="F78" s="77"/>
      <c r="G78" s="78"/>
      <c r="H78" s="78"/>
      <c r="I78" s="78"/>
      <c r="J78" s="78"/>
      <c r="K78" s="79"/>
      <c r="L78" s="23" t="s">
        <v>33</v>
      </c>
    </row>
    <row r="79" spans="1:12" x14ac:dyDescent="0.25">
      <c r="A79" s="17" t="s">
        <v>1695</v>
      </c>
      <c r="B79" s="143" t="s">
        <v>1694</v>
      </c>
      <c r="C79" s="144"/>
      <c r="D79" s="158"/>
      <c r="E79" s="43">
        <v>1411.27</v>
      </c>
      <c r="F79" s="159"/>
      <c r="G79" s="160"/>
      <c r="H79" s="160"/>
      <c r="I79" s="160"/>
      <c r="J79" s="160"/>
      <c r="K79" s="161"/>
      <c r="L79" s="23" t="s">
        <v>33</v>
      </c>
    </row>
    <row r="80" spans="1:12" x14ac:dyDescent="0.25">
      <c r="A80" s="17" t="s">
        <v>331</v>
      </c>
      <c r="B80" s="143" t="s">
        <v>1192</v>
      </c>
      <c r="C80" s="144"/>
      <c r="D80" s="158"/>
      <c r="E80" s="43">
        <v>681.12</v>
      </c>
      <c r="F80" s="159"/>
      <c r="G80" s="160"/>
      <c r="H80" s="160"/>
      <c r="I80" s="160"/>
      <c r="J80" s="160"/>
      <c r="K80" s="161"/>
      <c r="L80" s="23" t="s">
        <v>33</v>
      </c>
    </row>
    <row r="81" spans="1:12" x14ac:dyDescent="0.25">
      <c r="A81" s="17"/>
      <c r="B81" s="143"/>
      <c r="C81" s="144"/>
      <c r="D81" s="158"/>
      <c r="E81" s="43"/>
      <c r="F81" s="159"/>
      <c r="G81" s="160"/>
      <c r="H81" s="160"/>
      <c r="I81" s="160"/>
      <c r="J81" s="160"/>
      <c r="K81" s="161"/>
      <c r="L81" s="23"/>
    </row>
    <row r="82" spans="1:12" x14ac:dyDescent="0.25">
      <c r="A82" s="17"/>
      <c r="B82" s="143"/>
      <c r="C82" s="144"/>
      <c r="D82" s="158"/>
      <c r="E82" s="43"/>
      <c r="F82" s="159"/>
      <c r="G82" s="160"/>
      <c r="H82" s="160"/>
      <c r="I82" s="160"/>
      <c r="J82" s="160"/>
      <c r="K82" s="161"/>
      <c r="L82" s="17"/>
    </row>
    <row r="83" spans="1:12" x14ac:dyDescent="0.25">
      <c r="A83" s="17"/>
      <c r="B83" s="143"/>
      <c r="C83" s="144"/>
      <c r="D83" s="158"/>
      <c r="E83" s="43"/>
      <c r="F83" s="159"/>
      <c r="G83" s="160"/>
      <c r="H83" s="160"/>
      <c r="I83" s="160"/>
      <c r="J83" s="160"/>
      <c r="K83" s="161"/>
      <c r="L83" s="17"/>
    </row>
    <row r="84" spans="1:12" x14ac:dyDescent="0.25">
      <c r="A84" s="17"/>
      <c r="B84" s="143"/>
      <c r="C84" s="144"/>
      <c r="D84" s="158"/>
      <c r="E84" s="43"/>
      <c r="F84" s="159"/>
      <c r="G84" s="160"/>
      <c r="H84" s="160"/>
      <c r="I84" s="160"/>
      <c r="J84" s="160"/>
      <c r="K84" s="161"/>
      <c r="L84" s="17"/>
    </row>
    <row r="85" spans="1:12" ht="16.5" thickBot="1" x14ac:dyDescent="0.3">
      <c r="A85" s="26"/>
      <c r="B85" s="149"/>
      <c r="C85" s="150"/>
      <c r="D85" s="169"/>
      <c r="E85" s="45"/>
      <c r="F85" s="170"/>
      <c r="G85" s="171"/>
      <c r="H85" s="171"/>
      <c r="I85" s="171"/>
      <c r="J85" s="171"/>
      <c r="K85" s="172"/>
      <c r="L85" s="26"/>
    </row>
    <row r="86" spans="1:12" x14ac:dyDescent="0.25">
      <c r="A86" s="68"/>
      <c r="B86" s="69"/>
      <c r="C86" s="46"/>
      <c r="D86" s="46"/>
      <c r="F86" s="47"/>
      <c r="G86" s="47"/>
      <c r="H86" s="47"/>
      <c r="I86" s="47"/>
      <c r="J86" s="47"/>
      <c r="K86" s="47"/>
    </row>
    <row r="87" spans="1:12" x14ac:dyDescent="0.25">
      <c r="B87" s="176" t="s">
        <v>464</v>
      </c>
      <c r="C87" s="176"/>
      <c r="D87" s="176"/>
      <c r="E87" s="6">
        <f>SUM(E39:E47)</f>
        <v>1184.46</v>
      </c>
      <c r="F87" s="6"/>
      <c r="G87" s="6"/>
      <c r="H87" s="6"/>
      <c r="I87" s="6"/>
      <c r="J87" s="6"/>
      <c r="K87" s="6"/>
    </row>
    <row r="88" spans="1:12" x14ac:dyDescent="0.25">
      <c r="B88" s="176" t="s">
        <v>465</v>
      </c>
      <c r="C88" s="176"/>
      <c r="D88" s="176"/>
      <c r="E88" s="6">
        <f>SUM(E20:E37)</f>
        <v>4486.16</v>
      </c>
    </row>
    <row r="89" spans="1:12" x14ac:dyDescent="0.25">
      <c r="B89" s="176" t="s">
        <v>466</v>
      </c>
      <c r="C89" s="176"/>
      <c r="D89" s="176"/>
      <c r="E89" s="6">
        <f>SUM(E49:E57)</f>
        <v>0</v>
      </c>
    </row>
    <row r="94" spans="1:12" ht="18.75" x14ac:dyDescent="0.3">
      <c r="B94" s="48"/>
    </row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9:D79"/>
    <mergeCell ref="F79:K79"/>
    <mergeCell ref="B80:D80"/>
    <mergeCell ref="F80:K80"/>
    <mergeCell ref="B81:D81"/>
    <mergeCell ref="F81:K81"/>
    <mergeCell ref="B69:D69"/>
    <mergeCell ref="F69:K69"/>
    <mergeCell ref="B70:D70"/>
    <mergeCell ref="F70:K70"/>
    <mergeCell ref="B71:D71"/>
    <mergeCell ref="F71:K71"/>
    <mergeCell ref="B85:D85"/>
    <mergeCell ref="F85:K85"/>
    <mergeCell ref="B87:D87"/>
    <mergeCell ref="B88:D88"/>
    <mergeCell ref="B89:D89"/>
    <mergeCell ref="B82:D82"/>
    <mergeCell ref="F82:K82"/>
    <mergeCell ref="B83:D83"/>
    <mergeCell ref="F83:K83"/>
    <mergeCell ref="B84:D84"/>
    <mergeCell ref="F84:K84"/>
  </mergeCells>
  <conditionalFormatting sqref="A18:A19">
    <cfRule type="cellIs" dxfId="44" priority="1" stopIfTrue="1" operator="equal">
      <formula>"OK"</formula>
    </cfRule>
  </conditionalFormatting>
  <conditionalFormatting sqref="A92:XFD1048576">
    <cfRule type="cellIs" dxfId="43" priority="13" stopIfTrue="1" operator="equal">
      <formula>"OK"</formula>
    </cfRule>
  </conditionalFormatting>
  <conditionalFormatting sqref="B49:B52 B20:H37">
    <cfRule type="expression" dxfId="42" priority="20">
      <formula>$J20="ancien paiement"</formula>
    </cfRule>
  </conditionalFormatting>
  <conditionalFormatting sqref="B60:B62 E60:F62 B67:D67 E67:F68 B68 B69:K69 B70 E70:F70 B71:K85">
    <cfRule type="expression" dxfId="41" priority="19">
      <formula>$F60="ancien paiement"</formula>
    </cfRule>
    <cfRule type="expression" dxfId="40" priority="21">
      <formula>$J60="ancien paiement"</formula>
    </cfRule>
  </conditionalFormatting>
  <conditionalFormatting sqref="B60:B62 E60:F62 B67:D67 E67:F68 B68 B69:XFD69 B70 E70:F70 B71:XFD91 B19:H37 B38:XFD47 B63:XFD66 B58:XFD59 B1:J1 M1:XFD1 A2:XFD2 E3 G3:I3 M3:XFD3 B3:D6 K4 P4:XFD7 K5:L7 B7:I7 B8:D8 F8 I8 M8:XFD8 L9:XFD16 A17:XFD17 M18:XFD18 L19:XFD37 M48:XFD57 L60:XFD62 L67:XFD68 L70:XFD70">
    <cfRule type="cellIs" dxfId="39" priority="22" stopIfTrue="1" operator="equal">
      <formula>"OK"</formula>
    </cfRule>
  </conditionalFormatting>
  <conditionalFormatting sqref="B9:I16">
    <cfRule type="cellIs" dxfId="38" priority="11" stopIfTrue="1" operator="equal">
      <formula>"OK"</formula>
    </cfRule>
  </conditionalFormatting>
  <conditionalFormatting sqref="B39:K39">
    <cfRule type="expression" dxfId="37" priority="18">
      <formula>$J39="ancien paiement"</formula>
    </cfRule>
  </conditionalFormatting>
  <conditionalFormatting sqref="B39:K48 B49:B52">
    <cfRule type="expression" dxfId="36" priority="5">
      <formula>$F39="ancien paiement"</formula>
    </cfRule>
  </conditionalFormatting>
  <conditionalFormatting sqref="B41:K48">
    <cfRule type="expression" dxfId="35" priority="6">
      <formula>$J41="ancien paiement"</formula>
    </cfRule>
  </conditionalFormatting>
  <conditionalFormatting sqref="B54:K59">
    <cfRule type="expression" dxfId="34" priority="7">
      <formula>$F54="ancien paiement"</formula>
    </cfRule>
    <cfRule type="expression" dxfId="33" priority="8">
      <formula>$J54="ancien paiement"</formula>
    </cfRule>
  </conditionalFormatting>
  <conditionalFormatting sqref="B63:K64">
    <cfRule type="expression" dxfId="32" priority="16">
      <formula>$F63="ancien paiement"</formula>
    </cfRule>
    <cfRule type="expression" dxfId="31" priority="17">
      <formula>$J63="ancien paiement"</formula>
    </cfRule>
  </conditionalFormatting>
  <conditionalFormatting sqref="B66:K66">
    <cfRule type="expression" dxfId="30" priority="14">
      <formula>$F66="ancien paiement"</formula>
    </cfRule>
    <cfRule type="expression" dxfId="29" priority="15">
      <formula>$J66="ancien paiement"</formula>
    </cfRule>
  </conditionalFormatting>
  <conditionalFormatting sqref="B51:L57 B48:L49 B50:D50">
    <cfRule type="cellIs" dxfId="28" priority="9" stopIfTrue="1" operator="equal">
      <formula>"OK"</formula>
    </cfRule>
  </conditionalFormatting>
  <conditionalFormatting sqref="E49">
    <cfRule type="expression" dxfId="27" priority="10">
      <formula>#REF!="ancien paiement"</formula>
    </cfRule>
  </conditionalFormatting>
  <conditionalFormatting sqref="E49:F52">
    <cfRule type="expression" dxfId="26" priority="2">
      <formula>$F49="ancien paiement"</formula>
    </cfRule>
    <cfRule type="expression" dxfId="25" priority="3">
      <formula>$J49="ancien paiement"</formula>
    </cfRule>
  </conditionalFormatting>
  <conditionalFormatting sqref="E4:I6">
    <cfRule type="cellIs" dxfId="24" priority="12" stopIfTrue="1" operator="equal">
      <formula>"OK"</formula>
    </cfRule>
  </conditionalFormatting>
  <conditionalFormatting sqref="E50:L50">
    <cfRule type="cellIs" dxfId="23" priority="4" stopIfTrue="1" operator="equal">
      <formula>"OK"</formula>
    </cfRule>
  </conditionalFormatting>
  <pageMargins left="0.7" right="0.7" top="0.75" bottom="0.75" header="0.3" footer="0.3"/>
  <pageSetup paperSize="9" scale="48" orientation="portrait" copies="2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798E-DAF9-425E-AB7B-C2E1FE5ECFC3}">
  <dimension ref="A1:N117"/>
  <sheetViews>
    <sheetView workbookViewId="0">
      <selection activeCell="L16" sqref="L16"/>
    </sheetView>
  </sheetViews>
  <sheetFormatPr baseColWidth="10" defaultColWidth="11.42578125" defaultRowHeight="15.75" x14ac:dyDescent="0.25"/>
  <cols>
    <col min="1" max="1" width="13.5703125" style="1" bestFit="1" customWidth="1"/>
    <col min="2" max="2" width="15.42578125" style="1" customWidth="1"/>
    <col min="3" max="3" width="11.85546875" style="1" bestFit="1" customWidth="1"/>
    <col min="4" max="4" width="15.42578125" style="1" customWidth="1"/>
    <col min="5" max="5" width="21.5703125" style="1" customWidth="1"/>
    <col min="6" max="6" width="20.5703125" style="1" customWidth="1"/>
    <col min="7" max="7" width="24" style="1" bestFit="1" customWidth="1"/>
    <col min="8" max="8" width="11.42578125" style="1"/>
    <col min="9" max="9" width="8.42578125" style="1" customWidth="1"/>
    <col min="10" max="10" width="17.42578125" style="1" customWidth="1"/>
    <col min="11" max="11" width="11.42578125" style="1"/>
    <col min="12" max="12" width="9.5703125" style="1" customWidth="1"/>
    <col min="13" max="16384" width="11.42578125" style="1"/>
  </cols>
  <sheetData>
    <row r="1" spans="2:14" x14ac:dyDescent="0.25">
      <c r="I1" s="2" t="s">
        <v>0</v>
      </c>
      <c r="J1" s="105" t="s">
        <v>31</v>
      </c>
      <c r="K1" s="105"/>
      <c r="L1" s="105"/>
    </row>
    <row r="2" spans="2:14" ht="16.5" thickBot="1" x14ac:dyDescent="0.3">
      <c r="J2" s="2"/>
      <c r="K2" s="3"/>
      <c r="L2" s="3"/>
    </row>
    <row r="3" spans="2:14" ht="16.5" thickBot="1" x14ac:dyDescent="0.3">
      <c r="E3" s="106" t="s">
        <v>444</v>
      </c>
      <c r="F3" s="107"/>
      <c r="I3" s="108" t="s">
        <v>1</v>
      </c>
      <c r="J3" s="109"/>
      <c r="K3" s="110"/>
      <c r="L3" s="111"/>
    </row>
    <row r="4" spans="2:14" x14ac:dyDescent="0.25">
      <c r="E4" s="4" t="s">
        <v>2</v>
      </c>
      <c r="F4" s="5"/>
      <c r="I4" s="112" t="s">
        <v>3</v>
      </c>
      <c r="J4" s="113"/>
      <c r="K4" s="114">
        <f>E80+C14</f>
        <v>0</v>
      </c>
      <c r="L4" s="115"/>
      <c r="N4" s="6"/>
    </row>
    <row r="5" spans="2:14" ht="16.5" thickBot="1" x14ac:dyDescent="0.3">
      <c r="E5" s="7" t="s">
        <v>4</v>
      </c>
      <c r="F5" s="8"/>
      <c r="I5" s="95" t="s">
        <v>5</v>
      </c>
      <c r="J5" s="96"/>
      <c r="K5" s="97">
        <f>E15+E81</f>
        <v>0</v>
      </c>
      <c r="L5" s="98"/>
      <c r="N5" s="6"/>
    </row>
    <row r="6" spans="2:14" ht="16.5" thickBot="1" x14ac:dyDescent="0.3">
      <c r="E6" s="9" t="s">
        <v>445</v>
      </c>
      <c r="F6" s="10"/>
      <c r="I6" s="95" t="s">
        <v>446</v>
      </c>
      <c r="J6" s="96"/>
      <c r="K6" s="97">
        <f>G15+E82</f>
        <v>0</v>
      </c>
      <c r="L6" s="98"/>
    </row>
    <row r="7" spans="2:14" ht="16.5" thickBot="1" x14ac:dyDescent="0.3">
      <c r="I7" s="99" t="s">
        <v>6</v>
      </c>
      <c r="J7" s="100"/>
      <c r="K7" s="101">
        <f>SUM(E59:E64)</f>
        <v>0</v>
      </c>
      <c r="L7" s="102"/>
    </row>
    <row r="8" spans="2:14" ht="16.5" thickBot="1" x14ac:dyDescent="0.3">
      <c r="B8" s="103" t="s">
        <v>447</v>
      </c>
      <c r="C8" s="104"/>
      <c r="D8" s="103" t="s">
        <v>448</v>
      </c>
      <c r="E8" s="104"/>
      <c r="F8" s="103" t="s">
        <v>449</v>
      </c>
      <c r="G8" s="104"/>
      <c r="H8" s="11"/>
      <c r="I8" s="11"/>
    </row>
    <row r="9" spans="2:14" ht="23.1" customHeight="1" thickBot="1" x14ac:dyDescent="0.3">
      <c r="B9" s="12" t="s">
        <v>450</v>
      </c>
      <c r="C9" s="13"/>
      <c r="D9" s="14" t="s">
        <v>7</v>
      </c>
      <c r="E9" s="15" t="s">
        <v>8</v>
      </c>
      <c r="F9" s="15" t="s">
        <v>7</v>
      </c>
      <c r="G9" s="15" t="s">
        <v>8</v>
      </c>
      <c r="I9" s="134" t="s">
        <v>451</v>
      </c>
      <c r="J9" s="135"/>
      <c r="K9" s="136"/>
      <c r="L9" s="16" t="s">
        <v>8</v>
      </c>
    </row>
    <row r="10" spans="2:14" ht="24.6" customHeight="1" x14ac:dyDescent="0.25">
      <c r="B10" s="17" t="s">
        <v>452</v>
      </c>
      <c r="C10" s="18"/>
      <c r="D10" s="19"/>
      <c r="E10" s="49"/>
      <c r="F10" s="20" t="s">
        <v>9</v>
      </c>
      <c r="G10" s="21"/>
      <c r="H10" s="6"/>
      <c r="I10" s="137"/>
      <c r="J10" s="138"/>
      <c r="K10" s="139"/>
      <c r="L10" s="21"/>
    </row>
    <row r="11" spans="2:14" ht="21.6" customHeight="1" x14ac:dyDescent="0.25">
      <c r="B11" s="17" t="s">
        <v>453</v>
      </c>
      <c r="C11" s="18"/>
      <c r="D11" s="22"/>
      <c r="E11" s="50"/>
      <c r="F11" s="23" t="s">
        <v>454</v>
      </c>
      <c r="G11" s="24"/>
      <c r="H11" s="6"/>
      <c r="I11" s="140"/>
      <c r="J11" s="141"/>
      <c r="K11" s="142"/>
      <c r="L11" s="21"/>
    </row>
    <row r="12" spans="2:14" ht="21.6" customHeight="1" x14ac:dyDescent="0.25">
      <c r="B12" s="17" t="s">
        <v>455</v>
      </c>
      <c r="C12" s="18"/>
      <c r="D12" s="22"/>
      <c r="E12" s="50"/>
      <c r="F12" s="23"/>
      <c r="G12" s="24"/>
      <c r="H12" s="6"/>
      <c r="I12" s="140"/>
      <c r="J12" s="141"/>
      <c r="K12" s="142"/>
      <c r="L12" s="24"/>
    </row>
    <row r="13" spans="2:14" ht="23.1" customHeight="1" x14ac:dyDescent="0.25">
      <c r="B13" s="17" t="s">
        <v>10</v>
      </c>
      <c r="C13" s="18"/>
      <c r="D13" s="22"/>
      <c r="E13" s="50"/>
      <c r="F13" s="23"/>
      <c r="G13" s="24"/>
      <c r="H13" s="6"/>
      <c r="I13" s="140"/>
      <c r="J13" s="141"/>
      <c r="K13" s="142"/>
      <c r="L13" s="24"/>
    </row>
    <row r="14" spans="2:14" ht="23.85" customHeight="1" x14ac:dyDescent="0.25">
      <c r="B14" s="25" t="s">
        <v>11</v>
      </c>
      <c r="C14" s="18">
        <f>SUM(C9:C13)</f>
        <v>0</v>
      </c>
      <c r="D14" s="22"/>
      <c r="E14" s="50"/>
      <c r="F14" s="23"/>
      <c r="G14" s="24"/>
      <c r="H14" s="6"/>
      <c r="I14" s="140"/>
      <c r="J14" s="141"/>
      <c r="K14" s="142"/>
      <c r="L14" s="24"/>
    </row>
    <row r="15" spans="2:14" ht="24.6" customHeight="1" thickBot="1" x14ac:dyDescent="0.3">
      <c r="B15" s="26" t="s">
        <v>456</v>
      </c>
      <c r="C15" s="27"/>
      <c r="D15" s="28" t="s">
        <v>11</v>
      </c>
      <c r="E15" s="29">
        <f>SUM(E10:E14)</f>
        <v>0</v>
      </c>
      <c r="F15" s="30" t="s">
        <v>11</v>
      </c>
      <c r="G15" s="31">
        <f>SUM(G10:G14)</f>
        <v>0</v>
      </c>
      <c r="H15" s="6"/>
      <c r="I15" s="116" t="s">
        <v>457</v>
      </c>
      <c r="J15" s="117"/>
      <c r="K15" s="118"/>
      <c r="L15" s="32">
        <f>C15-'30'!C15</f>
        <v>-611</v>
      </c>
    </row>
    <row r="16" spans="2:14" ht="16.5" thickBot="1" x14ac:dyDescent="0.3">
      <c r="D16" s="33"/>
      <c r="E16" s="33"/>
      <c r="F16" s="6"/>
      <c r="G16" s="6"/>
      <c r="I16" s="2"/>
      <c r="J16" s="2"/>
      <c r="K16" s="34" t="s">
        <v>11</v>
      </c>
      <c r="L16" s="35">
        <f>(SUM(L10:L15))*-1</f>
        <v>611</v>
      </c>
    </row>
    <row r="17" spans="1:12" ht="16.5" thickBot="1" x14ac:dyDescent="0.3"/>
    <row r="18" spans="1:12" ht="16.5" thickBot="1" x14ac:dyDescent="0.3">
      <c r="A18" s="119" t="s">
        <v>12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1"/>
    </row>
    <row r="19" spans="1:12" ht="16.5" thickBot="1" x14ac:dyDescent="0.3">
      <c r="A19" s="73" t="s">
        <v>458</v>
      </c>
      <c r="B19" s="122" t="s">
        <v>459</v>
      </c>
      <c r="C19" s="123"/>
      <c r="D19" s="124"/>
      <c r="E19" s="36" t="s">
        <v>8</v>
      </c>
      <c r="F19" s="37" t="s">
        <v>13</v>
      </c>
      <c r="G19" s="38" t="s">
        <v>14</v>
      </c>
      <c r="H19" s="125" t="s">
        <v>15</v>
      </c>
      <c r="I19" s="126"/>
      <c r="J19" s="126"/>
      <c r="K19" s="127"/>
      <c r="L19" s="39" t="s">
        <v>16</v>
      </c>
    </row>
    <row r="20" spans="1:12" x14ac:dyDescent="0.25">
      <c r="A20" s="66"/>
      <c r="B20" s="128"/>
      <c r="C20" s="129"/>
      <c r="D20" s="130"/>
      <c r="E20" s="20"/>
      <c r="F20" s="12"/>
      <c r="G20" s="51"/>
      <c r="H20" s="131"/>
      <c r="I20" s="132"/>
      <c r="J20" s="132"/>
      <c r="K20" s="133"/>
      <c r="L20" s="20"/>
    </row>
    <row r="21" spans="1:12" x14ac:dyDescent="0.25">
      <c r="A21" s="66"/>
      <c r="B21" s="143"/>
      <c r="C21" s="144"/>
      <c r="D21" s="145"/>
      <c r="E21" s="20"/>
      <c r="F21" s="23"/>
      <c r="G21" s="52"/>
      <c r="H21" s="146"/>
      <c r="I21" s="147"/>
      <c r="J21" s="147"/>
      <c r="K21" s="148"/>
      <c r="L21" s="23"/>
    </row>
    <row r="22" spans="1:12" x14ac:dyDescent="0.25">
      <c r="A22" s="66"/>
      <c r="B22" s="143"/>
      <c r="C22" s="144"/>
      <c r="D22" s="145"/>
      <c r="E22" s="20"/>
      <c r="F22" s="23"/>
      <c r="G22" s="52"/>
      <c r="H22" s="146"/>
      <c r="I22" s="147"/>
      <c r="J22" s="147"/>
      <c r="K22" s="148"/>
      <c r="L22" s="23"/>
    </row>
    <row r="23" spans="1:12" x14ac:dyDescent="0.25">
      <c r="A23" s="66"/>
      <c r="B23" s="143"/>
      <c r="C23" s="144"/>
      <c r="D23" s="145"/>
      <c r="E23" s="20"/>
      <c r="F23" s="23"/>
      <c r="G23" s="52"/>
      <c r="H23" s="146"/>
      <c r="I23" s="147"/>
      <c r="J23" s="147"/>
      <c r="K23" s="148"/>
      <c r="L23" s="23"/>
    </row>
    <row r="24" spans="1:12" x14ac:dyDescent="0.25">
      <c r="A24" s="66"/>
      <c r="B24" s="143"/>
      <c r="C24" s="144"/>
      <c r="D24" s="145"/>
      <c r="E24" s="20"/>
      <c r="F24" s="23"/>
      <c r="G24" s="52"/>
      <c r="H24" s="146"/>
      <c r="I24" s="147"/>
      <c r="J24" s="147"/>
      <c r="K24" s="148"/>
      <c r="L24" s="23"/>
    </row>
    <row r="25" spans="1:12" x14ac:dyDescent="0.25">
      <c r="A25" s="66"/>
      <c r="B25" s="143"/>
      <c r="C25" s="144"/>
      <c r="D25" s="145"/>
      <c r="E25" s="20"/>
      <c r="F25" s="23"/>
      <c r="G25" s="52"/>
      <c r="H25" s="146"/>
      <c r="I25" s="147"/>
      <c r="J25" s="147"/>
      <c r="K25" s="148"/>
      <c r="L25" s="23"/>
    </row>
    <row r="26" spans="1:12" x14ac:dyDescent="0.25">
      <c r="A26" s="66"/>
      <c r="B26" s="143"/>
      <c r="C26" s="144"/>
      <c r="D26" s="145"/>
      <c r="E26" s="20"/>
      <c r="F26" s="23"/>
      <c r="G26" s="52"/>
      <c r="H26" s="146"/>
      <c r="I26" s="147"/>
      <c r="J26" s="147"/>
      <c r="K26" s="148"/>
      <c r="L26" s="23"/>
    </row>
    <row r="27" spans="1:12" x14ac:dyDescent="0.25">
      <c r="A27" s="66"/>
      <c r="B27" s="143"/>
      <c r="C27" s="144"/>
      <c r="D27" s="145"/>
      <c r="E27" s="20"/>
      <c r="F27" s="23"/>
      <c r="G27" s="52"/>
      <c r="H27" s="146"/>
      <c r="I27" s="147"/>
      <c r="J27" s="147"/>
      <c r="K27" s="148"/>
      <c r="L27" s="23"/>
    </row>
    <row r="28" spans="1:12" x14ac:dyDescent="0.25">
      <c r="A28" s="66"/>
      <c r="B28" s="143"/>
      <c r="C28" s="144"/>
      <c r="D28" s="145"/>
      <c r="E28" s="20"/>
      <c r="F28" s="23"/>
      <c r="G28" s="52"/>
      <c r="H28" s="146"/>
      <c r="I28" s="147"/>
      <c r="J28" s="147"/>
      <c r="K28" s="148"/>
      <c r="L28" s="23"/>
    </row>
    <row r="29" spans="1:12" x14ac:dyDescent="0.25">
      <c r="A29" s="66"/>
      <c r="B29" s="143"/>
      <c r="C29" s="144"/>
      <c r="D29" s="145"/>
      <c r="E29" s="20"/>
      <c r="F29" s="23"/>
      <c r="G29" s="52"/>
      <c r="H29" s="146"/>
      <c r="I29" s="147"/>
      <c r="J29" s="147"/>
      <c r="K29" s="148"/>
      <c r="L29" s="23"/>
    </row>
    <row r="30" spans="1:12" x14ac:dyDescent="0.25">
      <c r="A30" s="66"/>
      <c r="B30" s="143"/>
      <c r="C30" s="144"/>
      <c r="D30" s="145"/>
      <c r="E30" s="20"/>
      <c r="F30" s="23"/>
      <c r="G30" s="52"/>
      <c r="H30" s="146"/>
      <c r="I30" s="147"/>
      <c r="J30" s="147"/>
      <c r="K30" s="148"/>
      <c r="L30" s="23"/>
    </row>
    <row r="31" spans="1:12" x14ac:dyDescent="0.25">
      <c r="A31" s="66"/>
      <c r="B31" s="143"/>
      <c r="C31" s="144"/>
      <c r="D31" s="145"/>
      <c r="E31" s="20"/>
      <c r="F31" s="23"/>
      <c r="G31" s="52"/>
      <c r="H31" s="146"/>
      <c r="I31" s="147"/>
      <c r="J31" s="147"/>
      <c r="K31" s="148"/>
      <c r="L31" s="23"/>
    </row>
    <row r="32" spans="1:12" x14ac:dyDescent="0.25">
      <c r="A32" s="66"/>
      <c r="B32" s="143"/>
      <c r="C32" s="144"/>
      <c r="D32" s="145"/>
      <c r="E32" s="20"/>
      <c r="F32" s="23"/>
      <c r="G32" s="52"/>
      <c r="H32" s="146"/>
      <c r="I32" s="147"/>
      <c r="J32" s="147"/>
      <c r="K32" s="148"/>
      <c r="L32" s="23"/>
    </row>
    <row r="33" spans="1:12" x14ac:dyDescent="0.25">
      <c r="A33" s="66"/>
      <c r="B33" s="143"/>
      <c r="C33" s="144"/>
      <c r="D33" s="145"/>
      <c r="E33" s="20"/>
      <c r="F33" s="23"/>
      <c r="G33" s="52"/>
      <c r="H33" s="146"/>
      <c r="I33" s="147"/>
      <c r="J33" s="147"/>
      <c r="K33" s="148"/>
      <c r="L33" s="23"/>
    </row>
    <row r="34" spans="1:12" x14ac:dyDescent="0.25">
      <c r="A34" s="66"/>
      <c r="B34" s="143"/>
      <c r="C34" s="144"/>
      <c r="D34" s="145"/>
      <c r="E34" s="20"/>
      <c r="F34" s="23"/>
      <c r="G34" s="52"/>
      <c r="H34" s="146"/>
      <c r="I34" s="147"/>
      <c r="J34" s="147"/>
      <c r="K34" s="148"/>
      <c r="L34" s="17"/>
    </row>
    <row r="35" spans="1:12" x14ac:dyDescent="0.25">
      <c r="A35" s="66"/>
      <c r="B35" s="143"/>
      <c r="C35" s="144"/>
      <c r="D35" s="145"/>
      <c r="E35" s="20"/>
      <c r="F35" s="23"/>
      <c r="G35" s="52"/>
      <c r="H35" s="146"/>
      <c r="I35" s="147"/>
      <c r="J35" s="147"/>
      <c r="K35" s="148"/>
      <c r="L35" s="17"/>
    </row>
    <row r="36" spans="1:12" x14ac:dyDescent="0.25">
      <c r="A36" s="66"/>
      <c r="B36" s="143"/>
      <c r="C36" s="144"/>
      <c r="D36" s="145"/>
      <c r="E36" s="20"/>
      <c r="F36" s="23"/>
      <c r="G36" s="52"/>
      <c r="H36" s="146"/>
      <c r="I36" s="147"/>
      <c r="J36" s="147"/>
      <c r="K36" s="148"/>
      <c r="L36" s="17"/>
    </row>
    <row r="37" spans="1:12" ht="16.5" thickBot="1" x14ac:dyDescent="0.3">
      <c r="A37" s="66"/>
      <c r="B37" s="149"/>
      <c r="C37" s="150"/>
      <c r="D37" s="151"/>
      <c r="E37" s="20"/>
      <c r="F37" s="29"/>
      <c r="G37" s="53"/>
      <c r="H37" s="152"/>
      <c r="I37" s="153"/>
      <c r="J37" s="153"/>
      <c r="K37" s="154"/>
      <c r="L37" s="29"/>
    </row>
    <row r="38" spans="1:12" ht="16.5" thickBot="1" x14ac:dyDescent="0.3">
      <c r="A38" s="72" t="s">
        <v>458</v>
      </c>
      <c r="B38" s="155" t="s">
        <v>460</v>
      </c>
      <c r="C38" s="156"/>
      <c r="D38" s="157"/>
      <c r="E38" s="36" t="s">
        <v>8</v>
      </c>
      <c r="F38" s="119" t="s">
        <v>15</v>
      </c>
      <c r="G38" s="120"/>
      <c r="H38" s="120"/>
      <c r="I38" s="120"/>
      <c r="J38" s="120"/>
      <c r="K38" s="121"/>
      <c r="L38" s="40" t="s">
        <v>16</v>
      </c>
    </row>
    <row r="39" spans="1:12" x14ac:dyDescent="0.25">
      <c r="A39" s="66"/>
      <c r="B39" s="128"/>
      <c r="C39" s="129"/>
      <c r="D39" s="162"/>
      <c r="E39" s="41"/>
      <c r="F39" s="163"/>
      <c r="G39" s="164"/>
      <c r="H39" s="164"/>
      <c r="I39" s="164"/>
      <c r="J39" s="164"/>
      <c r="K39" s="165"/>
      <c r="L39" s="42"/>
    </row>
    <row r="40" spans="1:12" x14ac:dyDescent="0.25">
      <c r="A40" s="66"/>
      <c r="B40" s="143"/>
      <c r="C40" s="144"/>
      <c r="D40" s="158"/>
      <c r="E40" s="43"/>
      <c r="F40" s="159"/>
      <c r="G40" s="160"/>
      <c r="H40" s="160"/>
      <c r="I40" s="160"/>
      <c r="J40" s="160"/>
      <c r="K40" s="161"/>
      <c r="L40" s="23"/>
    </row>
    <row r="41" spans="1:12" x14ac:dyDescent="0.25">
      <c r="A41" s="66"/>
      <c r="B41" s="143"/>
      <c r="C41" s="144"/>
      <c r="D41" s="158"/>
      <c r="E41" s="43"/>
      <c r="F41" s="159"/>
      <c r="G41" s="160"/>
      <c r="H41" s="160"/>
      <c r="I41" s="160"/>
      <c r="J41" s="160"/>
      <c r="K41" s="161"/>
      <c r="L41" s="17"/>
    </row>
    <row r="42" spans="1:12" x14ac:dyDescent="0.25">
      <c r="A42" s="66"/>
      <c r="B42" s="143"/>
      <c r="C42" s="144"/>
      <c r="D42" s="158"/>
      <c r="E42" s="43"/>
      <c r="F42" s="159"/>
      <c r="G42" s="160"/>
      <c r="H42" s="160"/>
      <c r="I42" s="160"/>
      <c r="J42" s="160"/>
      <c r="K42" s="161"/>
      <c r="L42" s="23"/>
    </row>
    <row r="43" spans="1:12" x14ac:dyDescent="0.25">
      <c r="A43" s="66"/>
      <c r="B43" s="143"/>
      <c r="C43" s="144"/>
      <c r="D43" s="158"/>
      <c r="E43" s="43"/>
      <c r="F43" s="159"/>
      <c r="G43" s="160"/>
      <c r="H43" s="160"/>
      <c r="I43" s="160"/>
      <c r="J43" s="160"/>
      <c r="K43" s="161"/>
      <c r="L43" s="23"/>
    </row>
    <row r="44" spans="1:12" x14ac:dyDescent="0.25">
      <c r="A44" s="66"/>
      <c r="B44" s="143"/>
      <c r="C44" s="144"/>
      <c r="D44" s="158"/>
      <c r="E44" s="43"/>
      <c r="F44" s="159"/>
      <c r="G44" s="160"/>
      <c r="H44" s="160"/>
      <c r="I44" s="160"/>
      <c r="J44" s="160"/>
      <c r="K44" s="161"/>
      <c r="L44" s="23"/>
    </row>
    <row r="45" spans="1:12" x14ac:dyDescent="0.25">
      <c r="A45" s="66"/>
      <c r="B45" s="143"/>
      <c r="C45" s="144"/>
      <c r="D45" s="158"/>
      <c r="E45" s="43"/>
      <c r="F45" s="159"/>
      <c r="G45" s="160"/>
      <c r="H45" s="160"/>
      <c r="I45" s="160"/>
      <c r="J45" s="160"/>
      <c r="K45" s="161"/>
      <c r="L45" s="23"/>
    </row>
    <row r="46" spans="1:12" x14ac:dyDescent="0.25">
      <c r="A46" s="66"/>
      <c r="B46" s="143"/>
      <c r="C46" s="144"/>
      <c r="D46" s="158"/>
      <c r="E46" s="43"/>
      <c r="F46" s="159"/>
      <c r="G46" s="160"/>
      <c r="H46" s="160"/>
      <c r="I46" s="160"/>
      <c r="J46" s="160"/>
      <c r="K46" s="161"/>
      <c r="L46" s="23"/>
    </row>
    <row r="47" spans="1:12" ht="16.5" thickBot="1" x14ac:dyDescent="0.3">
      <c r="A47" s="66"/>
      <c r="B47" s="149"/>
      <c r="C47" s="150"/>
      <c r="D47" s="169"/>
      <c r="E47" s="43"/>
      <c r="F47" s="170"/>
      <c r="G47" s="171"/>
      <c r="H47" s="171"/>
      <c r="I47" s="171"/>
      <c r="J47" s="171"/>
      <c r="K47" s="172"/>
      <c r="L47" s="44"/>
    </row>
    <row r="48" spans="1:12" ht="16.5" thickBot="1" x14ac:dyDescent="0.3">
      <c r="A48" s="71" t="s">
        <v>458</v>
      </c>
      <c r="B48" s="166" t="s">
        <v>461</v>
      </c>
      <c r="C48" s="167"/>
      <c r="D48" s="168"/>
      <c r="E48" s="36" t="s">
        <v>8</v>
      </c>
      <c r="F48" s="119" t="s">
        <v>15</v>
      </c>
      <c r="G48" s="120"/>
      <c r="H48" s="120"/>
      <c r="I48" s="120"/>
      <c r="J48" s="120"/>
      <c r="K48" s="121"/>
      <c r="L48" s="39" t="s">
        <v>16</v>
      </c>
    </row>
    <row r="49" spans="1:12" x14ac:dyDescent="0.25">
      <c r="A49" s="66"/>
      <c r="B49" s="143"/>
      <c r="C49" s="144"/>
      <c r="D49" s="158"/>
      <c r="E49" s="43"/>
      <c r="F49" s="159"/>
      <c r="G49" s="160"/>
      <c r="H49" s="160"/>
      <c r="I49" s="160"/>
      <c r="J49" s="160"/>
      <c r="K49" s="161"/>
      <c r="L49" s="20"/>
    </row>
    <row r="50" spans="1:12" x14ac:dyDescent="0.25">
      <c r="A50" s="66"/>
      <c r="B50" s="143"/>
      <c r="C50" s="144"/>
      <c r="D50" s="158"/>
      <c r="E50" s="43"/>
      <c r="F50" s="159"/>
      <c r="G50" s="160"/>
      <c r="H50" s="160"/>
      <c r="I50" s="160"/>
      <c r="J50" s="160"/>
      <c r="K50" s="161"/>
      <c r="L50" s="20"/>
    </row>
    <row r="51" spans="1:12" x14ac:dyDescent="0.25">
      <c r="A51" s="66"/>
      <c r="B51" s="143"/>
      <c r="C51" s="144"/>
      <c r="D51" s="158"/>
      <c r="E51" s="43"/>
      <c r="F51" s="159"/>
      <c r="G51" s="160"/>
      <c r="H51" s="160"/>
      <c r="I51" s="160"/>
      <c r="J51" s="160"/>
      <c r="K51" s="161"/>
      <c r="L51" s="20"/>
    </row>
    <row r="52" spans="1:12" ht="16.5" thickBot="1" x14ac:dyDescent="0.3">
      <c r="A52" s="66"/>
      <c r="B52" s="143"/>
      <c r="C52" s="144"/>
      <c r="D52" s="158"/>
      <c r="E52" s="43"/>
      <c r="F52" s="159"/>
      <c r="G52" s="160"/>
      <c r="H52" s="160"/>
      <c r="I52" s="160"/>
      <c r="J52" s="160"/>
      <c r="K52" s="161"/>
      <c r="L52" s="20"/>
    </row>
    <row r="53" spans="1:12" ht="16.5" thickBot="1" x14ac:dyDescent="0.3">
      <c r="A53" s="71" t="s">
        <v>458</v>
      </c>
      <c r="B53" s="166" t="s">
        <v>462</v>
      </c>
      <c r="C53" s="167"/>
      <c r="D53" s="168"/>
      <c r="E53" s="36" t="s">
        <v>8</v>
      </c>
      <c r="F53" s="119" t="s">
        <v>15</v>
      </c>
      <c r="G53" s="120"/>
      <c r="H53" s="120"/>
      <c r="I53" s="120"/>
      <c r="J53" s="120"/>
      <c r="K53" s="121"/>
      <c r="L53" s="39" t="s">
        <v>16</v>
      </c>
    </row>
    <row r="54" spans="1:12" x14ac:dyDescent="0.25">
      <c r="A54" s="66"/>
      <c r="B54" s="143"/>
      <c r="C54" s="144">
        <v>802.36</v>
      </c>
      <c r="D54" s="158" t="s">
        <v>18</v>
      </c>
      <c r="E54" s="43"/>
      <c r="F54" s="163"/>
      <c r="G54" s="164"/>
      <c r="H54" s="164"/>
      <c r="I54" s="164"/>
      <c r="J54" s="164"/>
      <c r="K54" s="165"/>
      <c r="L54" s="20"/>
    </row>
    <row r="55" spans="1:12" x14ac:dyDescent="0.25">
      <c r="A55" s="66"/>
      <c r="B55" s="143"/>
      <c r="C55" s="144">
        <v>675.28</v>
      </c>
      <c r="D55" s="158" t="s">
        <v>19</v>
      </c>
      <c r="E55" s="43"/>
      <c r="F55" s="159"/>
      <c r="G55" s="160"/>
      <c r="H55" s="160"/>
      <c r="I55" s="160"/>
      <c r="J55" s="160"/>
      <c r="K55" s="161"/>
      <c r="L55" s="23"/>
    </row>
    <row r="56" spans="1:12" x14ac:dyDescent="0.25">
      <c r="A56" s="66"/>
      <c r="B56" s="143"/>
      <c r="C56" s="144">
        <v>689.72</v>
      </c>
      <c r="D56" s="158" t="s">
        <v>19</v>
      </c>
      <c r="E56" s="43"/>
      <c r="F56" s="159"/>
      <c r="G56" s="160"/>
      <c r="H56" s="160"/>
      <c r="I56" s="160"/>
      <c r="J56" s="160"/>
      <c r="K56" s="161"/>
      <c r="L56" s="23"/>
    </row>
    <row r="57" spans="1:12" ht="16.5" thickBot="1" x14ac:dyDescent="0.3">
      <c r="A57" s="66"/>
      <c r="B57" s="143"/>
      <c r="C57" s="144">
        <v>340.26</v>
      </c>
      <c r="D57" s="158" t="s">
        <v>20</v>
      </c>
      <c r="E57" s="43"/>
      <c r="F57" s="159"/>
      <c r="G57" s="160"/>
      <c r="H57" s="160"/>
      <c r="I57" s="160"/>
      <c r="J57" s="160"/>
      <c r="K57" s="161"/>
      <c r="L57" s="23"/>
    </row>
    <row r="58" spans="1:12" ht="16.5" thickBot="1" x14ac:dyDescent="0.3">
      <c r="A58" s="71" t="s">
        <v>458</v>
      </c>
      <c r="B58" s="166" t="s">
        <v>17</v>
      </c>
      <c r="C58" s="167"/>
      <c r="D58" s="168"/>
      <c r="E58" s="36" t="s">
        <v>8</v>
      </c>
      <c r="F58" s="119" t="s">
        <v>15</v>
      </c>
      <c r="G58" s="120"/>
      <c r="H58" s="120"/>
      <c r="I58" s="120"/>
      <c r="J58" s="120"/>
      <c r="K58" s="121"/>
      <c r="L58" s="39" t="s">
        <v>16</v>
      </c>
    </row>
    <row r="59" spans="1:12" x14ac:dyDescent="0.25">
      <c r="A59" s="66"/>
      <c r="B59" s="128"/>
      <c r="C59" s="129"/>
      <c r="D59" s="162"/>
      <c r="E59" s="43"/>
      <c r="F59" s="163"/>
      <c r="G59" s="164"/>
      <c r="H59" s="164"/>
      <c r="I59" s="164"/>
      <c r="J59" s="164"/>
      <c r="K59" s="165"/>
      <c r="L59" s="23"/>
    </row>
    <row r="60" spans="1:12" x14ac:dyDescent="0.25">
      <c r="A60" s="66"/>
      <c r="B60" s="143"/>
      <c r="C60" s="144"/>
      <c r="D60" s="158"/>
      <c r="E60" s="43"/>
      <c r="F60" s="159"/>
      <c r="G60" s="160"/>
      <c r="H60" s="160"/>
      <c r="I60" s="160"/>
      <c r="J60" s="160"/>
      <c r="K60" s="161"/>
      <c r="L60" s="44"/>
    </row>
    <row r="61" spans="1:12" x14ac:dyDescent="0.25">
      <c r="A61" s="66"/>
      <c r="B61" s="143"/>
      <c r="C61" s="144"/>
      <c r="D61" s="158"/>
      <c r="E61" s="43"/>
      <c r="F61" s="159"/>
      <c r="G61" s="160"/>
      <c r="H61" s="160"/>
      <c r="I61" s="160"/>
      <c r="J61" s="160"/>
      <c r="K61" s="161"/>
      <c r="L61" s="44"/>
    </row>
    <row r="62" spans="1:12" x14ac:dyDescent="0.25">
      <c r="A62" s="66"/>
      <c r="B62" s="143"/>
      <c r="C62" s="144"/>
      <c r="D62" s="158"/>
      <c r="E62" s="43"/>
      <c r="F62" s="159"/>
      <c r="G62" s="160"/>
      <c r="H62" s="160"/>
      <c r="I62" s="160"/>
      <c r="J62" s="160"/>
      <c r="K62" s="161"/>
      <c r="L62" s="44"/>
    </row>
    <row r="63" spans="1:12" x14ac:dyDescent="0.25">
      <c r="A63" s="66"/>
      <c r="B63" s="143"/>
      <c r="C63" s="144"/>
      <c r="D63" s="158"/>
      <c r="E63" s="43"/>
      <c r="F63" s="159"/>
      <c r="G63" s="160"/>
      <c r="H63" s="160"/>
      <c r="I63" s="160"/>
      <c r="J63" s="160"/>
      <c r="K63" s="161"/>
      <c r="L63" s="44"/>
    </row>
    <row r="64" spans="1:12" ht="16.5" thickBot="1" x14ac:dyDescent="0.3">
      <c r="A64" s="67"/>
      <c r="B64" s="149"/>
      <c r="C64" s="150"/>
      <c r="D64" s="169"/>
      <c r="E64" s="43"/>
      <c r="F64" s="170"/>
      <c r="G64" s="171"/>
      <c r="H64" s="171"/>
      <c r="I64" s="171"/>
      <c r="J64" s="171"/>
      <c r="K64" s="172"/>
      <c r="L64" s="29"/>
    </row>
    <row r="65" spans="1:12" ht="16.5" thickBot="1" x14ac:dyDescent="0.3">
      <c r="A65" s="70" t="s">
        <v>458</v>
      </c>
      <c r="B65" s="173" t="s">
        <v>463</v>
      </c>
      <c r="C65" s="174"/>
      <c r="D65" s="175"/>
      <c r="E65" s="36" t="s">
        <v>8</v>
      </c>
      <c r="F65" s="119" t="s">
        <v>15</v>
      </c>
      <c r="G65" s="120"/>
      <c r="H65" s="120"/>
      <c r="I65" s="120"/>
      <c r="J65" s="120"/>
      <c r="K65" s="121"/>
      <c r="L65" s="39" t="s">
        <v>16</v>
      </c>
    </row>
    <row r="66" spans="1:12" ht="16.5" thickBot="1" x14ac:dyDescent="0.3">
      <c r="A66" s="17"/>
      <c r="B66" s="128"/>
      <c r="C66" s="129"/>
      <c r="D66" s="162"/>
      <c r="E66" s="43"/>
      <c r="F66" s="163"/>
      <c r="G66" s="164"/>
      <c r="H66" s="164"/>
      <c r="I66" s="164"/>
      <c r="J66" s="164"/>
      <c r="K66" s="165"/>
      <c r="L66" s="23"/>
    </row>
    <row r="67" spans="1:12" x14ac:dyDescent="0.25">
      <c r="A67" s="17"/>
      <c r="B67" s="128"/>
      <c r="C67" s="129"/>
      <c r="D67" s="162"/>
      <c r="E67" s="43"/>
      <c r="F67" s="159"/>
      <c r="G67" s="160"/>
      <c r="H67" s="160"/>
      <c r="I67" s="160"/>
      <c r="J67" s="160"/>
      <c r="K67" s="161"/>
      <c r="L67" s="23"/>
    </row>
    <row r="68" spans="1:12" x14ac:dyDescent="0.25">
      <c r="A68" s="17"/>
      <c r="B68" s="143"/>
      <c r="C68" s="144"/>
      <c r="D68" s="158"/>
      <c r="E68" s="43"/>
      <c r="F68" s="159"/>
      <c r="G68" s="160"/>
      <c r="H68" s="160"/>
      <c r="I68" s="160"/>
      <c r="J68" s="160"/>
      <c r="K68" s="161"/>
      <c r="L68" s="23"/>
    </row>
    <row r="69" spans="1:12" x14ac:dyDescent="0.25">
      <c r="A69" s="17"/>
      <c r="B69" s="143"/>
      <c r="C69" s="144"/>
      <c r="D69" s="158"/>
      <c r="E69" s="43"/>
      <c r="F69" s="159"/>
      <c r="G69" s="160"/>
      <c r="H69" s="160"/>
      <c r="I69" s="160"/>
      <c r="J69" s="160"/>
      <c r="K69" s="161"/>
      <c r="L69" s="23"/>
    </row>
    <row r="70" spans="1:12" x14ac:dyDescent="0.25">
      <c r="A70" s="17"/>
      <c r="B70" s="143"/>
      <c r="C70" s="144"/>
      <c r="D70" s="158"/>
      <c r="E70" s="43"/>
      <c r="F70" s="159"/>
      <c r="G70" s="160"/>
      <c r="H70" s="160"/>
      <c r="I70" s="160"/>
      <c r="J70" s="160"/>
      <c r="K70" s="161"/>
      <c r="L70" s="23"/>
    </row>
    <row r="71" spans="1:12" x14ac:dyDescent="0.25">
      <c r="A71" s="17"/>
      <c r="B71" s="143"/>
      <c r="C71" s="144"/>
      <c r="D71" s="158"/>
      <c r="E71" s="43"/>
      <c r="F71" s="159"/>
      <c r="G71" s="160"/>
      <c r="H71" s="160"/>
      <c r="I71" s="160"/>
      <c r="J71" s="160"/>
      <c r="K71" s="161"/>
      <c r="L71" s="23"/>
    </row>
    <row r="72" spans="1:12" x14ac:dyDescent="0.25">
      <c r="A72" s="17"/>
      <c r="B72" s="143"/>
      <c r="C72" s="144"/>
      <c r="D72" s="158"/>
      <c r="E72" s="43"/>
      <c r="F72" s="159"/>
      <c r="G72" s="160"/>
      <c r="H72" s="160"/>
      <c r="I72" s="160"/>
      <c r="J72" s="160"/>
      <c r="K72" s="161"/>
      <c r="L72" s="23"/>
    </row>
    <row r="73" spans="1:12" x14ac:dyDescent="0.25">
      <c r="A73" s="17"/>
      <c r="B73" s="143"/>
      <c r="C73" s="144"/>
      <c r="D73" s="158"/>
      <c r="E73" s="43"/>
      <c r="F73" s="159"/>
      <c r="G73" s="160"/>
      <c r="H73" s="160"/>
      <c r="I73" s="160"/>
      <c r="J73" s="160"/>
      <c r="K73" s="161"/>
      <c r="L73" s="23"/>
    </row>
    <row r="74" spans="1:12" x14ac:dyDescent="0.25">
      <c r="A74" s="17"/>
      <c r="B74" s="143"/>
      <c r="C74" s="144"/>
      <c r="D74" s="158"/>
      <c r="E74" s="43"/>
      <c r="F74" s="159"/>
      <c r="G74" s="160"/>
      <c r="H74" s="160"/>
      <c r="I74" s="160"/>
      <c r="J74" s="160"/>
      <c r="K74" s="161"/>
      <c r="L74" s="23"/>
    </row>
    <row r="75" spans="1:12" x14ac:dyDescent="0.25">
      <c r="A75" s="17"/>
      <c r="B75" s="143"/>
      <c r="C75" s="144"/>
      <c r="D75" s="158"/>
      <c r="E75" s="43"/>
      <c r="F75" s="159"/>
      <c r="G75" s="160"/>
      <c r="H75" s="160"/>
      <c r="I75" s="160"/>
      <c r="J75" s="160"/>
      <c r="K75" s="161"/>
      <c r="L75" s="17"/>
    </row>
    <row r="76" spans="1:12" x14ac:dyDescent="0.25">
      <c r="A76" s="17"/>
      <c r="B76" s="143"/>
      <c r="C76" s="144"/>
      <c r="D76" s="158"/>
      <c r="E76" s="43"/>
      <c r="F76" s="159"/>
      <c r="G76" s="160"/>
      <c r="H76" s="160"/>
      <c r="I76" s="160"/>
      <c r="J76" s="160"/>
      <c r="K76" s="161"/>
      <c r="L76" s="17"/>
    </row>
    <row r="77" spans="1:12" x14ac:dyDescent="0.25">
      <c r="A77" s="17"/>
      <c r="B77" s="143"/>
      <c r="C77" s="144"/>
      <c r="D77" s="158"/>
      <c r="E77" s="43"/>
      <c r="F77" s="159"/>
      <c r="G77" s="160"/>
      <c r="H77" s="160"/>
      <c r="I77" s="160"/>
      <c r="J77" s="160"/>
      <c r="K77" s="161"/>
      <c r="L77" s="17"/>
    </row>
    <row r="78" spans="1:12" ht="16.5" thickBot="1" x14ac:dyDescent="0.3">
      <c r="A78" s="26"/>
      <c r="B78" s="149"/>
      <c r="C78" s="150"/>
      <c r="D78" s="169"/>
      <c r="E78" s="45"/>
      <c r="F78" s="170"/>
      <c r="G78" s="171"/>
      <c r="H78" s="171"/>
      <c r="I78" s="171"/>
      <c r="J78" s="171"/>
      <c r="K78" s="172"/>
      <c r="L78" s="26"/>
    </row>
    <row r="79" spans="1:12" x14ac:dyDescent="0.25">
      <c r="A79" s="68"/>
      <c r="B79" s="69"/>
      <c r="C79" s="46"/>
      <c r="D79" s="46"/>
      <c r="F79" s="47"/>
      <c r="G79" s="47"/>
      <c r="H79" s="47"/>
      <c r="I79" s="47"/>
      <c r="J79" s="47"/>
      <c r="K79" s="47"/>
    </row>
    <row r="80" spans="1:12" x14ac:dyDescent="0.25">
      <c r="B80" s="176" t="s">
        <v>464</v>
      </c>
      <c r="C80" s="176"/>
      <c r="D80" s="176"/>
      <c r="E80" s="6">
        <f>SUM(E39:E47)</f>
        <v>0</v>
      </c>
      <c r="F80" s="6"/>
      <c r="G80" s="6"/>
      <c r="H80" s="6"/>
      <c r="I80" s="6"/>
      <c r="J80" s="6"/>
      <c r="K80" s="6"/>
    </row>
    <row r="81" spans="2:5" x14ac:dyDescent="0.25">
      <c r="B81" s="176" t="s">
        <v>465</v>
      </c>
      <c r="C81" s="176"/>
      <c r="D81" s="176"/>
      <c r="E81" s="6">
        <f>SUM(E20:E37)</f>
        <v>0</v>
      </c>
    </row>
    <row r="82" spans="2:5" x14ac:dyDescent="0.25">
      <c r="B82" s="176" t="s">
        <v>466</v>
      </c>
      <c r="C82" s="176"/>
      <c r="D82" s="176"/>
      <c r="E82" s="6">
        <f>SUM(E49:E57)</f>
        <v>0</v>
      </c>
    </row>
    <row r="87" spans="2:5" ht="18.75" x14ac:dyDescent="0.3">
      <c r="B87" s="48"/>
    </row>
    <row r="117" s="1" customFormat="1" x14ac:dyDescent="0.25"/>
  </sheetData>
  <mergeCells count="145">
    <mergeCell ref="I6:J6"/>
    <mergeCell ref="K6:L6"/>
    <mergeCell ref="I7:J7"/>
    <mergeCell ref="K7:L7"/>
    <mergeCell ref="B8:C8"/>
    <mergeCell ref="D8:E8"/>
    <mergeCell ref="F8:G8"/>
    <mergeCell ref="J1:L1"/>
    <mergeCell ref="E3:F3"/>
    <mergeCell ref="I3:L3"/>
    <mergeCell ref="I4:J4"/>
    <mergeCell ref="K4:L4"/>
    <mergeCell ref="I5:J5"/>
    <mergeCell ref="K5:L5"/>
    <mergeCell ref="I15:K15"/>
    <mergeCell ref="A18:L18"/>
    <mergeCell ref="B19:D19"/>
    <mergeCell ref="H19:K19"/>
    <mergeCell ref="B20:D20"/>
    <mergeCell ref="H20:K20"/>
    <mergeCell ref="I9:K9"/>
    <mergeCell ref="I10:K10"/>
    <mergeCell ref="I11:K11"/>
    <mergeCell ref="I12:K12"/>
    <mergeCell ref="I13:K13"/>
    <mergeCell ref="I14:K14"/>
    <mergeCell ref="B24:D24"/>
    <mergeCell ref="H24:K24"/>
    <mergeCell ref="B25:D25"/>
    <mergeCell ref="H25:K25"/>
    <mergeCell ref="B26:D26"/>
    <mergeCell ref="H26:K26"/>
    <mergeCell ref="B21:D21"/>
    <mergeCell ref="H21:K21"/>
    <mergeCell ref="B22:D22"/>
    <mergeCell ref="H22:K22"/>
    <mergeCell ref="B23:D23"/>
    <mergeCell ref="H23:K23"/>
    <mergeCell ref="B30:D30"/>
    <mergeCell ref="H30:K30"/>
    <mergeCell ref="B31:D31"/>
    <mergeCell ref="H31:K31"/>
    <mergeCell ref="B32:D32"/>
    <mergeCell ref="H32:K32"/>
    <mergeCell ref="B27:D27"/>
    <mergeCell ref="H27:K27"/>
    <mergeCell ref="B28:D28"/>
    <mergeCell ref="H28:K28"/>
    <mergeCell ref="B29:D29"/>
    <mergeCell ref="H29:K29"/>
    <mergeCell ref="B36:D36"/>
    <mergeCell ref="H36:K36"/>
    <mergeCell ref="B37:D37"/>
    <mergeCell ref="H37:K37"/>
    <mergeCell ref="B38:D38"/>
    <mergeCell ref="F38:K38"/>
    <mergeCell ref="B33:D33"/>
    <mergeCell ref="H33:K33"/>
    <mergeCell ref="B34:D34"/>
    <mergeCell ref="H34:K34"/>
    <mergeCell ref="B35:D35"/>
    <mergeCell ref="H35:K35"/>
    <mergeCell ref="B42:D42"/>
    <mergeCell ref="F42:K42"/>
    <mergeCell ref="B43:D43"/>
    <mergeCell ref="F43:K43"/>
    <mergeCell ref="B44:D44"/>
    <mergeCell ref="F44:K44"/>
    <mergeCell ref="B39:D39"/>
    <mergeCell ref="F39:K39"/>
    <mergeCell ref="B40:D40"/>
    <mergeCell ref="F40:K40"/>
    <mergeCell ref="B41:D41"/>
    <mergeCell ref="F41:K41"/>
    <mergeCell ref="B48:D48"/>
    <mergeCell ref="F48:K48"/>
    <mergeCell ref="B49:D49"/>
    <mergeCell ref="F49:K49"/>
    <mergeCell ref="B50:D50"/>
    <mergeCell ref="F50:K50"/>
    <mergeCell ref="B45:D45"/>
    <mergeCell ref="F45:K45"/>
    <mergeCell ref="B46:D46"/>
    <mergeCell ref="F46:K46"/>
    <mergeCell ref="B47:D47"/>
    <mergeCell ref="F47:K47"/>
    <mergeCell ref="B54:D54"/>
    <mergeCell ref="F54:K54"/>
    <mergeCell ref="B55:D55"/>
    <mergeCell ref="F55:K55"/>
    <mergeCell ref="B56:D56"/>
    <mergeCell ref="F56:K56"/>
    <mergeCell ref="B51:D51"/>
    <mergeCell ref="F51:K51"/>
    <mergeCell ref="B52:D52"/>
    <mergeCell ref="F52:K52"/>
    <mergeCell ref="B53:D53"/>
    <mergeCell ref="F53:K53"/>
    <mergeCell ref="B60:D60"/>
    <mergeCell ref="F60:K60"/>
    <mergeCell ref="B61:D61"/>
    <mergeCell ref="F61:K61"/>
    <mergeCell ref="B62:D62"/>
    <mergeCell ref="F62:K62"/>
    <mergeCell ref="B57:D57"/>
    <mergeCell ref="F57:K57"/>
    <mergeCell ref="B58:D58"/>
    <mergeCell ref="F58:K58"/>
    <mergeCell ref="B59:D59"/>
    <mergeCell ref="F59:K59"/>
    <mergeCell ref="B66:D66"/>
    <mergeCell ref="F66:K66"/>
    <mergeCell ref="B67:D67"/>
    <mergeCell ref="F67:K67"/>
    <mergeCell ref="B68:D68"/>
    <mergeCell ref="F68:K68"/>
    <mergeCell ref="B63:D63"/>
    <mergeCell ref="F63:K63"/>
    <mergeCell ref="B64:D64"/>
    <mergeCell ref="F64:K64"/>
    <mergeCell ref="B65:D65"/>
    <mergeCell ref="F65:K65"/>
    <mergeCell ref="B72:D72"/>
    <mergeCell ref="F72:K72"/>
    <mergeCell ref="B73:D73"/>
    <mergeCell ref="F73:K73"/>
    <mergeCell ref="B74:D74"/>
    <mergeCell ref="F74:K74"/>
    <mergeCell ref="B69:D69"/>
    <mergeCell ref="F69:K69"/>
    <mergeCell ref="B70:D70"/>
    <mergeCell ref="F70:K70"/>
    <mergeCell ref="B71:D71"/>
    <mergeCell ref="F71:K71"/>
    <mergeCell ref="B78:D78"/>
    <mergeCell ref="F78:K78"/>
    <mergeCell ref="B80:D80"/>
    <mergeCell ref="B81:D81"/>
    <mergeCell ref="B82:D82"/>
    <mergeCell ref="B75:D75"/>
    <mergeCell ref="F75:K75"/>
    <mergeCell ref="B76:D76"/>
    <mergeCell ref="F76:K76"/>
    <mergeCell ref="B77:D77"/>
    <mergeCell ref="F77:K77"/>
  </mergeCells>
  <conditionalFormatting sqref="A18:A19">
    <cfRule type="cellIs" dxfId="22" priority="1" stopIfTrue="1" operator="equal">
      <formula>"OK"</formula>
    </cfRule>
  </conditionalFormatting>
  <conditionalFormatting sqref="A85:XFD1048576">
    <cfRule type="cellIs" dxfId="21" priority="13" stopIfTrue="1" operator="equal">
      <formula>"OK"</formula>
    </cfRule>
  </conditionalFormatting>
  <conditionalFormatting sqref="B49:B52 B20:H37">
    <cfRule type="expression" dxfId="20" priority="20">
      <formula>$J20="ancien paiement"</formula>
    </cfRule>
  </conditionalFormatting>
  <conditionalFormatting sqref="B60:B62 E60:F62 B67:D67 E67:F68 B68 B69:K69 B70 E70:F70 B71:K78">
    <cfRule type="expression" dxfId="19" priority="19">
      <formula>$F60="ancien paiement"</formula>
    </cfRule>
    <cfRule type="expression" dxfId="18" priority="21">
      <formula>$J60="ancien paiement"</formula>
    </cfRule>
  </conditionalFormatting>
  <conditionalFormatting sqref="B60:B62 E60:F62 B67:D67 E67:F68 B68 B69:XFD69 B70 E70:F70 B71:XFD84 B19:H37 B38:XFD47 B63:XFD66 B58:XFD59 B1:J1 M1:XFD1 A2:XFD2 E3 G3:I3 M3:XFD3 B3:D6 K4 P4:XFD7 K5:L7 B7:I7 B8:D8 F8 I8 M8:XFD8 L9:XFD16 A17:XFD17 M18:XFD18 L19:XFD37 M48:XFD57 L60:XFD62 L67:XFD68 L70:XFD70">
    <cfRule type="cellIs" dxfId="17" priority="22" stopIfTrue="1" operator="equal">
      <formula>"OK"</formula>
    </cfRule>
  </conditionalFormatting>
  <conditionalFormatting sqref="B9:I16">
    <cfRule type="cellIs" dxfId="16" priority="11" stopIfTrue="1" operator="equal">
      <formula>"OK"</formula>
    </cfRule>
  </conditionalFormatting>
  <conditionalFormatting sqref="B39:K39">
    <cfRule type="expression" dxfId="15" priority="18">
      <formula>$J39="ancien paiement"</formula>
    </cfRule>
  </conditionalFormatting>
  <conditionalFormatting sqref="B39:K48 B49:B52">
    <cfRule type="expression" dxfId="14" priority="5">
      <formula>$F39="ancien paiement"</formula>
    </cfRule>
  </conditionalFormatting>
  <conditionalFormatting sqref="B41:K48">
    <cfRule type="expression" dxfId="13" priority="6">
      <formula>$J41="ancien paiement"</formula>
    </cfRule>
  </conditionalFormatting>
  <conditionalFormatting sqref="B54:K59">
    <cfRule type="expression" dxfId="12" priority="7">
      <formula>$F54="ancien paiement"</formula>
    </cfRule>
    <cfRule type="expression" dxfId="11" priority="8">
      <formula>$J54="ancien paiement"</formula>
    </cfRule>
  </conditionalFormatting>
  <conditionalFormatting sqref="B63:K64">
    <cfRule type="expression" dxfId="10" priority="16">
      <formula>$F63="ancien paiement"</formula>
    </cfRule>
    <cfRule type="expression" dxfId="9" priority="17">
      <formula>$J63="ancien paiement"</formula>
    </cfRule>
  </conditionalFormatting>
  <conditionalFormatting sqref="B66:K66">
    <cfRule type="expression" dxfId="8" priority="14">
      <formula>$F66="ancien paiement"</formula>
    </cfRule>
    <cfRule type="expression" dxfId="7" priority="15">
      <formula>$J66="ancien paiement"</formula>
    </cfRule>
  </conditionalFormatting>
  <conditionalFormatting sqref="B51:L57 B48:L49 B50:D50">
    <cfRule type="cellIs" dxfId="6" priority="9" stopIfTrue="1" operator="equal">
      <formula>"OK"</formula>
    </cfRule>
  </conditionalFormatting>
  <conditionalFormatting sqref="E49">
    <cfRule type="expression" dxfId="5" priority="10">
      <formula>#REF!="ancien paiement"</formula>
    </cfRule>
  </conditionalFormatting>
  <conditionalFormatting sqref="E49:F52">
    <cfRule type="expression" dxfId="4" priority="2">
      <formula>$F49="ancien paiement"</formula>
    </cfRule>
    <cfRule type="expression" dxfId="3" priority="3">
      <formula>$J49="ancien paiement"</formula>
    </cfRule>
  </conditionalFormatting>
  <conditionalFormatting sqref="E4:I6">
    <cfRule type="cellIs" dxfId="2" priority="12" stopIfTrue="1" operator="equal">
      <formula>"OK"</formula>
    </cfRule>
  </conditionalFormatting>
  <conditionalFormatting sqref="E50:L50">
    <cfRule type="cellIs" dxfId="1" priority="4" stopIfTrue="1" operator="equal">
      <formula>"OK"</formula>
    </cfRule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2200-02AA-498E-8451-2DB42D1ECFF5}">
  <dimension ref="A1:G30"/>
  <sheetViews>
    <sheetView workbookViewId="0">
      <selection activeCell="A14" sqref="A14"/>
    </sheetView>
  </sheetViews>
  <sheetFormatPr baseColWidth="10" defaultColWidth="11.42578125" defaultRowHeight="15" x14ac:dyDescent="0.25"/>
  <cols>
    <col min="1" max="1" width="10.7109375" style="55" bestFit="1" customWidth="1"/>
    <col min="2" max="2" width="11.85546875" style="56" bestFit="1" customWidth="1"/>
    <col min="3" max="4" width="12" style="56" bestFit="1" customWidth="1"/>
    <col min="5" max="5" width="20" style="58" bestFit="1" customWidth="1"/>
    <col min="6" max="6" width="17" style="58" customWidth="1"/>
    <col min="7" max="7" width="15.85546875" style="58" customWidth="1"/>
  </cols>
  <sheetData>
    <row r="1" spans="1:7" ht="26.25" x14ac:dyDescent="0.4">
      <c r="A1" s="198" t="s">
        <v>21</v>
      </c>
      <c r="B1" s="199"/>
      <c r="C1" s="199"/>
      <c r="D1" s="199"/>
      <c r="E1" s="199"/>
      <c r="F1" s="199"/>
      <c r="G1" s="199"/>
    </row>
    <row r="2" spans="1:7" x14ac:dyDescent="0.25">
      <c r="A2" s="57" t="s">
        <v>0</v>
      </c>
      <c r="B2" s="54" t="s">
        <v>22</v>
      </c>
      <c r="C2" s="54" t="s">
        <v>23</v>
      </c>
      <c r="D2" s="54" t="s">
        <v>6</v>
      </c>
      <c r="E2" s="59" t="s">
        <v>24</v>
      </c>
      <c r="F2" s="59" t="s">
        <v>25</v>
      </c>
      <c r="G2" s="59" t="s">
        <v>26</v>
      </c>
    </row>
    <row r="3" spans="1:7" x14ac:dyDescent="0.25">
      <c r="A3" s="57">
        <v>46113</v>
      </c>
      <c r="B3" s="54">
        <f>SUM(TOTAL!J4:K4)</f>
        <v>0</v>
      </c>
      <c r="C3" s="54" t="e">
        <f>SUM(#REF!)</f>
        <v>#REF!</v>
      </c>
      <c r="D3" s="54" t="e">
        <f>SUM(#REF!)</f>
        <v>#REF!</v>
      </c>
      <c r="E3" s="60" t="e">
        <f>SUM(#REF!)</f>
        <v>#REF!</v>
      </c>
      <c r="F3" s="60" t="e">
        <f>#REF!</f>
        <v>#REF!</v>
      </c>
      <c r="G3" s="61" t="e">
        <f>SUM(B3:E3)-F3</f>
        <v>#REF!</v>
      </c>
    </row>
    <row r="4" spans="1:7" x14ac:dyDescent="0.25">
      <c r="A4" s="57">
        <v>46116</v>
      </c>
      <c r="B4" s="54">
        <f>SUM(TOTAL!J5:K5)</f>
        <v>0</v>
      </c>
      <c r="C4" s="54" t="e">
        <f>SUM(#REF!)</f>
        <v>#REF!</v>
      </c>
      <c r="D4" s="54" t="e">
        <f>SUM(#REF!)</f>
        <v>#REF!</v>
      </c>
      <c r="E4" s="60" t="e">
        <f>SUM(#REF!)</f>
        <v>#REF!</v>
      </c>
      <c r="F4" s="60" t="e">
        <f>#REF!</f>
        <v>#REF!</v>
      </c>
      <c r="G4" s="61" t="e">
        <f t="shared" ref="G4:G30" si="0">SUM(B4:E4)-F4</f>
        <v>#REF!</v>
      </c>
    </row>
    <row r="5" spans="1:7" x14ac:dyDescent="0.25">
      <c r="A5" s="57">
        <v>46116</v>
      </c>
      <c r="B5" s="54">
        <f>SUM(TOTAL!J6:K6)</f>
        <v>0</v>
      </c>
      <c r="C5" s="54" t="e">
        <f>SUM(#REF!)</f>
        <v>#REF!</v>
      </c>
      <c r="D5" s="54" t="e">
        <f>SUM(#REF!)</f>
        <v>#REF!</v>
      </c>
      <c r="E5" s="60" t="e">
        <f>SUM(#REF!)</f>
        <v>#REF!</v>
      </c>
      <c r="F5" s="60" t="e">
        <f>#REF!</f>
        <v>#REF!</v>
      </c>
      <c r="G5" s="61" t="e">
        <f t="shared" si="0"/>
        <v>#REF!</v>
      </c>
    </row>
    <row r="6" spans="1:7" x14ac:dyDescent="0.25">
      <c r="A6" s="57">
        <v>46116</v>
      </c>
      <c r="B6" s="54">
        <f>SUM(TOTAL!J7:K7)</f>
        <v>0</v>
      </c>
      <c r="C6" s="54" t="e">
        <f>SUM(#REF!)</f>
        <v>#REF!</v>
      </c>
      <c r="D6" s="54" t="e">
        <f>SUM(#REF!)</f>
        <v>#REF!</v>
      </c>
      <c r="E6" s="60" t="e">
        <f>SUM(#REF!)</f>
        <v>#REF!</v>
      </c>
      <c r="F6" s="60" t="e">
        <f>#REF!</f>
        <v>#REF!</v>
      </c>
      <c r="G6" s="61" t="e">
        <f t="shared" si="0"/>
        <v>#REF!</v>
      </c>
    </row>
    <row r="7" spans="1:7" x14ac:dyDescent="0.25">
      <c r="A7" s="57">
        <v>46117</v>
      </c>
      <c r="B7" s="54">
        <f>SUM(TOTAL!J8:K8)</f>
        <v>0</v>
      </c>
      <c r="C7" s="54" t="e">
        <f>SUM(#REF!)</f>
        <v>#REF!</v>
      </c>
      <c r="D7" s="54" t="e">
        <f>SUM(#REF!)</f>
        <v>#REF!</v>
      </c>
      <c r="E7" s="60" t="e">
        <f>SUM(#REF!)</f>
        <v>#REF!</v>
      </c>
      <c r="F7" s="60" t="e">
        <f>#REF!</f>
        <v>#REF!</v>
      </c>
      <c r="G7" s="61" t="e">
        <f t="shared" si="0"/>
        <v>#REF!</v>
      </c>
    </row>
    <row r="8" spans="1:7" x14ac:dyDescent="0.25">
      <c r="A8" s="57">
        <v>46118</v>
      </c>
      <c r="B8" s="54">
        <f>SUM(TOTAL!J9:K9)</f>
        <v>0</v>
      </c>
      <c r="C8" s="54" t="e">
        <f>SUM(#REF!)</f>
        <v>#REF!</v>
      </c>
      <c r="D8" s="54" t="e">
        <f>SUM(#REF!)</f>
        <v>#REF!</v>
      </c>
      <c r="E8" s="60" t="e">
        <f>SUM(#REF!)</f>
        <v>#REF!</v>
      </c>
      <c r="F8" s="60" t="e">
        <f>#REF!</f>
        <v>#REF!</v>
      </c>
      <c r="G8" s="61" t="e">
        <f t="shared" si="0"/>
        <v>#REF!</v>
      </c>
    </row>
    <row r="9" spans="1:7" x14ac:dyDescent="0.25">
      <c r="A9" s="57">
        <v>46119</v>
      </c>
      <c r="B9" s="54">
        <f>SUM(TOTAL!J10:K10)</f>
        <v>0</v>
      </c>
      <c r="C9" s="54" t="e">
        <f>SUM(#REF!)</f>
        <v>#REF!</v>
      </c>
      <c r="D9" s="54" t="e">
        <f>SUM(#REF!)</f>
        <v>#REF!</v>
      </c>
      <c r="E9" s="60" t="e">
        <f>SUM(#REF!)</f>
        <v>#REF!</v>
      </c>
      <c r="F9" s="60" t="e">
        <f>#REF!</f>
        <v>#REF!</v>
      </c>
      <c r="G9" s="61" t="e">
        <f t="shared" si="0"/>
        <v>#REF!</v>
      </c>
    </row>
    <row r="10" spans="1:7" x14ac:dyDescent="0.25">
      <c r="A10" s="57">
        <v>46120</v>
      </c>
      <c r="B10" s="54">
        <f>SUM(TOTAL!J2:K2)</f>
        <v>0</v>
      </c>
      <c r="C10" s="54" t="e">
        <f>SUM(#REF!)</f>
        <v>#REF!</v>
      </c>
      <c r="D10" s="54" t="e">
        <f>SUM(#REF!)</f>
        <v>#REF!</v>
      </c>
      <c r="E10" s="60" t="e">
        <f>SUM(#REF!)</f>
        <v>#REF!</v>
      </c>
      <c r="F10" s="60" t="e">
        <f>#REF!</f>
        <v>#REF!</v>
      </c>
      <c r="G10" s="61" t="e">
        <f t="shared" si="0"/>
        <v>#REF!</v>
      </c>
    </row>
    <row r="11" spans="1:7" x14ac:dyDescent="0.25">
      <c r="A11" s="57">
        <v>46121</v>
      </c>
      <c r="B11" s="54">
        <f>SUM(TOTAL!J12:K12)</f>
        <v>0</v>
      </c>
      <c r="C11" s="54" t="e">
        <f>SUM(#REF!)</f>
        <v>#REF!</v>
      </c>
      <c r="D11" s="54" t="e">
        <f>SUM(#REF!)</f>
        <v>#REF!</v>
      </c>
      <c r="E11" s="60" t="e">
        <f>SUM(#REF!)</f>
        <v>#REF!</v>
      </c>
      <c r="F11" s="60" t="e">
        <f>#REF!</f>
        <v>#REF!</v>
      </c>
      <c r="G11" s="61" t="e">
        <f>SUM(B2:E2)-F2</f>
        <v>#VALUE!</v>
      </c>
    </row>
    <row r="12" spans="1:7" x14ac:dyDescent="0.25">
      <c r="A12" s="57">
        <v>46122</v>
      </c>
      <c r="B12" s="54">
        <f>SUM(TOTAL!J13:K13)</f>
        <v>0</v>
      </c>
      <c r="C12" s="54" t="e">
        <f>SUM(#REF!)</f>
        <v>#REF!</v>
      </c>
      <c r="D12" s="54" t="e">
        <f>SUM(#REF!)</f>
        <v>#REF!</v>
      </c>
      <c r="E12" s="60" t="e">
        <f>SUM(#REF!)</f>
        <v>#REF!</v>
      </c>
      <c r="F12" s="60" t="e">
        <f>#REF!</f>
        <v>#REF!</v>
      </c>
      <c r="G12" s="61" t="e">
        <f t="shared" si="0"/>
        <v>#REF!</v>
      </c>
    </row>
    <row r="13" spans="1:7" x14ac:dyDescent="0.25">
      <c r="A13" s="57">
        <v>46123</v>
      </c>
      <c r="B13" s="54">
        <f>SUM(TOTAL!J14:K14)</f>
        <v>0</v>
      </c>
      <c r="C13" s="54" t="e">
        <f>SUM(#REF!)</f>
        <v>#REF!</v>
      </c>
      <c r="D13" s="54" t="e">
        <f>SUM(#REF!)</f>
        <v>#REF!</v>
      </c>
      <c r="E13" s="60" t="e">
        <f>SUM(#REF!)</f>
        <v>#REF!</v>
      </c>
      <c r="F13" s="60" t="e">
        <f>#REF!</f>
        <v>#REF!</v>
      </c>
      <c r="G13" s="61" t="e">
        <f t="shared" si="0"/>
        <v>#REF!</v>
      </c>
    </row>
    <row r="14" spans="1:7" x14ac:dyDescent="0.25">
      <c r="A14" s="57">
        <v>46124</v>
      </c>
      <c r="B14" s="54">
        <f>SUM(TOTAL!J15:K15)</f>
        <v>0</v>
      </c>
      <c r="C14" s="54" t="e">
        <f>SUM(#REF!)</f>
        <v>#REF!</v>
      </c>
      <c r="D14" s="54" t="e">
        <f>SUM(#REF!)</f>
        <v>#REF!</v>
      </c>
      <c r="E14" s="60" t="e">
        <f>SUM(#REF!)</f>
        <v>#REF!</v>
      </c>
      <c r="F14" s="60" t="e">
        <f>#REF!</f>
        <v>#REF!</v>
      </c>
      <c r="G14" s="61" t="e">
        <f t="shared" si="0"/>
        <v>#REF!</v>
      </c>
    </row>
    <row r="15" spans="1:7" x14ac:dyDescent="0.25">
      <c r="A15" s="57">
        <v>46125</v>
      </c>
      <c r="B15" s="54">
        <f>SUM(TOTAL!J16:K16)</f>
        <v>0</v>
      </c>
      <c r="C15" s="54" t="e">
        <f>SUM(#REF!)</f>
        <v>#REF!</v>
      </c>
      <c r="D15" s="54" t="e">
        <f>SUM(#REF!)</f>
        <v>#REF!</v>
      </c>
      <c r="E15" s="60" t="e">
        <f>SUM(#REF!)</f>
        <v>#REF!</v>
      </c>
      <c r="F15" s="60" t="e">
        <f>#REF!</f>
        <v>#REF!</v>
      </c>
      <c r="G15" s="61" t="e">
        <f t="shared" si="0"/>
        <v>#REF!</v>
      </c>
    </row>
    <row r="16" spans="1:7" x14ac:dyDescent="0.25">
      <c r="A16" s="57">
        <v>46126</v>
      </c>
      <c r="B16" s="54">
        <f>SUM(TOTAL!J17:K17)</f>
        <v>0</v>
      </c>
      <c r="C16" s="54" t="e">
        <f>SUM(#REF!)</f>
        <v>#REF!</v>
      </c>
      <c r="D16" s="54" t="e">
        <f>SUM(#REF!)</f>
        <v>#REF!</v>
      </c>
      <c r="E16" s="60" t="e">
        <f>SUM(#REF!)</f>
        <v>#REF!</v>
      </c>
      <c r="F16" s="60" t="e">
        <f>#REF!</f>
        <v>#REF!</v>
      </c>
      <c r="G16" s="61" t="e">
        <f t="shared" si="0"/>
        <v>#REF!</v>
      </c>
    </row>
    <row r="17" spans="1:7" x14ac:dyDescent="0.25">
      <c r="A17" s="57">
        <v>46127</v>
      </c>
      <c r="B17" s="54">
        <f>SUM(TOTAL!J18:K18)</f>
        <v>0</v>
      </c>
      <c r="C17" s="54" t="e">
        <f>SUM(#REF!)</f>
        <v>#REF!</v>
      </c>
      <c r="D17" s="54" t="e">
        <f>SUM(#REF!)</f>
        <v>#REF!</v>
      </c>
      <c r="E17" s="60" t="e">
        <f>SUM(#REF!)</f>
        <v>#REF!</v>
      </c>
      <c r="F17" s="60" t="e">
        <f>#REF!</f>
        <v>#REF!</v>
      </c>
      <c r="G17" s="61" t="e">
        <f t="shared" si="0"/>
        <v>#REF!</v>
      </c>
    </row>
    <row r="18" spans="1:7" x14ac:dyDescent="0.25">
      <c r="A18" s="57">
        <v>46128</v>
      </c>
      <c r="B18" s="54">
        <f>SUM(TOTAL!J19:K19)</f>
        <v>0</v>
      </c>
      <c r="C18" s="54" t="e">
        <f>SUM(#REF!)</f>
        <v>#REF!</v>
      </c>
      <c r="D18" s="54" t="e">
        <f>SUM(#REF!)</f>
        <v>#REF!</v>
      </c>
      <c r="E18" s="60" t="e">
        <f>SUM(#REF!)</f>
        <v>#REF!</v>
      </c>
      <c r="F18" s="60" t="e">
        <f>#REF!</f>
        <v>#REF!</v>
      </c>
      <c r="G18" s="61" t="e">
        <f t="shared" si="0"/>
        <v>#REF!</v>
      </c>
    </row>
    <row r="19" spans="1:7" x14ac:dyDescent="0.25">
      <c r="A19" s="57">
        <v>46129</v>
      </c>
      <c r="B19" s="54">
        <f>SUM(TOTAL!J20:K20)</f>
        <v>0</v>
      </c>
      <c r="C19" s="54" t="e">
        <f>SUM(#REF!)</f>
        <v>#REF!</v>
      </c>
      <c r="D19" s="54" t="e">
        <f>SUM(#REF!)</f>
        <v>#REF!</v>
      </c>
      <c r="E19" s="60" t="e">
        <f>SUM(#REF!)</f>
        <v>#REF!</v>
      </c>
      <c r="F19" s="60" t="e">
        <f>#REF!</f>
        <v>#REF!</v>
      </c>
      <c r="G19" s="61" t="e">
        <f t="shared" si="0"/>
        <v>#REF!</v>
      </c>
    </row>
    <row r="20" spans="1:7" x14ac:dyDescent="0.25">
      <c r="A20" s="57">
        <v>46130</v>
      </c>
      <c r="B20" s="54">
        <f>SUM(TOTAL!J21:K21)</f>
        <v>0</v>
      </c>
      <c r="C20" s="54" t="e">
        <f>SUM(#REF!)</f>
        <v>#REF!</v>
      </c>
      <c r="D20" s="54" t="e">
        <f>SUM(#REF!)</f>
        <v>#REF!</v>
      </c>
      <c r="E20" s="60" t="e">
        <f>SUM(#REF!)</f>
        <v>#REF!</v>
      </c>
      <c r="F20" s="60" t="e">
        <f>#REF!</f>
        <v>#REF!</v>
      </c>
      <c r="G20" s="61" t="e">
        <f t="shared" si="0"/>
        <v>#REF!</v>
      </c>
    </row>
    <row r="21" spans="1:7" x14ac:dyDescent="0.25">
      <c r="A21" s="57">
        <v>46131</v>
      </c>
      <c r="B21" s="54">
        <f>SUM(TOTAL!J22:K22)</f>
        <v>0</v>
      </c>
      <c r="C21" s="54" t="e">
        <f>SUM(#REF!)</f>
        <v>#REF!</v>
      </c>
      <c r="D21" s="54" t="e">
        <f>SUM(#REF!)</f>
        <v>#REF!</v>
      </c>
      <c r="E21" s="60" t="e">
        <f>SUM(#REF!)</f>
        <v>#REF!</v>
      </c>
      <c r="F21" s="60" t="e">
        <f>#REF!</f>
        <v>#REF!</v>
      </c>
      <c r="G21" s="61" t="e">
        <f t="shared" si="0"/>
        <v>#REF!</v>
      </c>
    </row>
    <row r="22" spans="1:7" x14ac:dyDescent="0.25">
      <c r="A22" s="57">
        <v>46132</v>
      </c>
      <c r="B22" s="54">
        <f>SUM(TOTAL!J23:K23)</f>
        <v>0</v>
      </c>
      <c r="C22" s="54" t="e">
        <f>SUM(#REF!)</f>
        <v>#REF!</v>
      </c>
      <c r="D22" s="54" t="e">
        <f>SUM(#REF!)</f>
        <v>#REF!</v>
      </c>
      <c r="E22" s="60" t="e">
        <f>SUM(#REF!)</f>
        <v>#REF!</v>
      </c>
      <c r="F22" s="60" t="e">
        <f>#REF!</f>
        <v>#REF!</v>
      </c>
      <c r="G22" s="61" t="e">
        <f t="shared" si="0"/>
        <v>#REF!</v>
      </c>
    </row>
    <row r="23" spans="1:7" x14ac:dyDescent="0.25">
      <c r="A23" s="57">
        <v>46133</v>
      </c>
      <c r="B23" s="54">
        <f>SUM(TOTAL!J24:K24)</f>
        <v>0</v>
      </c>
      <c r="C23" s="54" t="e">
        <f>SUM(#REF!)</f>
        <v>#REF!</v>
      </c>
      <c r="D23" s="54" t="e">
        <f>SUM(#REF!)</f>
        <v>#REF!</v>
      </c>
      <c r="E23" s="60" t="e">
        <f>SUM(#REF!)</f>
        <v>#REF!</v>
      </c>
      <c r="F23" s="60" t="e">
        <f>#REF!</f>
        <v>#REF!</v>
      </c>
      <c r="G23" s="61" t="e">
        <f t="shared" si="0"/>
        <v>#REF!</v>
      </c>
    </row>
    <row r="24" spans="1:7" x14ac:dyDescent="0.25">
      <c r="A24" s="57">
        <v>46134</v>
      </c>
      <c r="B24" s="54">
        <f>SUM(TOTAL!J25:K25)</f>
        <v>0</v>
      </c>
      <c r="C24" s="54" t="e">
        <f>SUM(#REF!)</f>
        <v>#REF!</v>
      </c>
      <c r="D24" s="54" t="e">
        <f>SUM(#REF!)</f>
        <v>#REF!</v>
      </c>
      <c r="E24" s="60" t="e">
        <f>SUM(#REF!)</f>
        <v>#REF!</v>
      </c>
      <c r="F24" s="60" t="e">
        <f>#REF!</f>
        <v>#REF!</v>
      </c>
      <c r="G24" s="61" t="e">
        <f t="shared" si="0"/>
        <v>#REF!</v>
      </c>
    </row>
    <row r="25" spans="1:7" x14ac:dyDescent="0.25">
      <c r="A25" s="57">
        <v>46135</v>
      </c>
      <c r="B25" s="54">
        <f>SUM(TOTAL!J26:K26)</f>
        <v>0</v>
      </c>
      <c r="C25" s="54" t="e">
        <f>SUM(#REF!)</f>
        <v>#REF!</v>
      </c>
      <c r="D25" s="54" t="e">
        <f>SUM(#REF!)</f>
        <v>#REF!</v>
      </c>
      <c r="E25" s="60" t="e">
        <f>SUM(#REF!)</f>
        <v>#REF!</v>
      </c>
      <c r="F25" s="60" t="e">
        <f>#REF!</f>
        <v>#REF!</v>
      </c>
      <c r="G25" s="61" t="e">
        <f t="shared" si="0"/>
        <v>#REF!</v>
      </c>
    </row>
    <row r="26" spans="1:7" x14ac:dyDescent="0.25">
      <c r="A26" s="57">
        <v>46136</v>
      </c>
      <c r="B26" s="54">
        <f>SUM(TOTAL!J27:K27)</f>
        <v>0</v>
      </c>
      <c r="C26" s="54" t="e">
        <f>SUM(#REF!)</f>
        <v>#REF!</v>
      </c>
      <c r="D26" s="54" t="e">
        <f>SUM(#REF!)</f>
        <v>#REF!</v>
      </c>
      <c r="E26" s="60" t="e">
        <f>SUM(#REF!)</f>
        <v>#REF!</v>
      </c>
      <c r="F26" s="60" t="e">
        <f>#REF!</f>
        <v>#REF!</v>
      </c>
      <c r="G26" s="61" t="e">
        <f t="shared" si="0"/>
        <v>#REF!</v>
      </c>
    </row>
    <row r="27" spans="1:7" x14ac:dyDescent="0.25">
      <c r="A27" s="57">
        <v>46137</v>
      </c>
      <c r="B27" s="54">
        <f>SUM(TOTAL!J28:K28)</f>
        <v>0</v>
      </c>
      <c r="C27" s="54" t="e">
        <f>SUM(#REF!)</f>
        <v>#REF!</v>
      </c>
      <c r="D27" s="54" t="e">
        <f>SUM(#REF!)</f>
        <v>#REF!</v>
      </c>
      <c r="E27" s="60" t="e">
        <f>SUM(#REF!)</f>
        <v>#REF!</v>
      </c>
      <c r="F27" s="60" t="e">
        <f>#REF!</f>
        <v>#REF!</v>
      </c>
      <c r="G27" s="61" t="e">
        <f t="shared" si="0"/>
        <v>#REF!</v>
      </c>
    </row>
    <row r="28" spans="1:7" x14ac:dyDescent="0.25">
      <c r="A28" s="57">
        <v>46138</v>
      </c>
      <c r="B28" s="54">
        <f>SUM(TOTAL!J29:K29)</f>
        <v>0</v>
      </c>
      <c r="C28" s="54" t="e">
        <f>SUM(#REF!)</f>
        <v>#REF!</v>
      </c>
      <c r="D28" s="54" t="e">
        <f>SUM(#REF!)</f>
        <v>#REF!</v>
      </c>
      <c r="E28" s="60" t="e">
        <f>SUM(#REF!)</f>
        <v>#REF!</v>
      </c>
      <c r="F28" s="60" t="e">
        <f>#REF!</f>
        <v>#REF!</v>
      </c>
      <c r="G28" s="61" t="e">
        <f t="shared" si="0"/>
        <v>#REF!</v>
      </c>
    </row>
    <row r="29" spans="1:7" x14ac:dyDescent="0.25">
      <c r="A29" s="57">
        <v>46139</v>
      </c>
      <c r="B29" s="54">
        <f>SUM(TOTAL!J30:K30)</f>
        <v>0</v>
      </c>
      <c r="C29" s="54" t="e">
        <f>SUM(#REF!)</f>
        <v>#REF!</v>
      </c>
      <c r="D29" s="54" t="e">
        <f>SUM(#REF!)</f>
        <v>#REF!</v>
      </c>
      <c r="E29" s="60" t="e">
        <f>SUM(#REF!)</f>
        <v>#REF!</v>
      </c>
      <c r="F29" s="60" t="e">
        <f>#REF!</f>
        <v>#REF!</v>
      </c>
      <c r="G29" s="61" t="e">
        <f t="shared" si="0"/>
        <v>#REF!</v>
      </c>
    </row>
    <row r="30" spans="1:7" x14ac:dyDescent="0.25">
      <c r="A30" s="57">
        <v>46140</v>
      </c>
      <c r="B30" s="54" t="e">
        <f>SUM(TOTAL!#REF!)</f>
        <v>#REF!</v>
      </c>
      <c r="C30" s="54" t="e">
        <f>SUM(#REF!)</f>
        <v>#REF!</v>
      </c>
      <c r="D30" s="54" t="e">
        <f>SUM(#REF!)</f>
        <v>#REF!</v>
      </c>
      <c r="E30" s="60" t="e">
        <f>SUM(#REF!)</f>
        <v>#REF!</v>
      </c>
      <c r="F30" s="60" t="e">
        <f>#REF!</f>
        <v>#REF!</v>
      </c>
      <c r="G30" s="61" t="e">
        <f t="shared" si="0"/>
        <v>#REF!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0579-B2E2-4363-A79C-928ED1DDA729}">
  <dimension ref="B2:N32"/>
  <sheetViews>
    <sheetView workbookViewId="0">
      <selection activeCell="B16" sqref="B16"/>
    </sheetView>
  </sheetViews>
  <sheetFormatPr baseColWidth="10" defaultRowHeight="15" x14ac:dyDescent="0.25"/>
  <cols>
    <col min="2" max="2" width="10.7109375" style="58" bestFit="1" customWidth="1"/>
    <col min="3" max="3" width="14.42578125" bestFit="1" customWidth="1"/>
    <col min="4" max="4" width="11.140625" customWidth="1"/>
    <col min="5" max="5" width="16.42578125" style="58" bestFit="1" customWidth="1"/>
    <col min="6" max="6" width="16.42578125" style="58" customWidth="1"/>
    <col min="7" max="7" width="12.28515625" customWidth="1"/>
    <col min="8" max="8" width="12.5703125" style="58" customWidth="1"/>
    <col min="9" max="9" width="12" style="65" customWidth="1"/>
    <col min="10" max="10" width="21.5703125" style="58" customWidth="1"/>
    <col min="11" max="11" width="16.42578125" style="58" customWidth="1"/>
    <col min="12" max="13" width="11.42578125" style="58"/>
    <col min="14" max="14" width="24.140625" style="58" bestFit="1" customWidth="1"/>
  </cols>
  <sheetData>
    <row r="2" spans="2:14" x14ac:dyDescent="0.25">
      <c r="C2" s="200" t="s">
        <v>870</v>
      </c>
      <c r="D2" s="200"/>
      <c r="H2" s="200" t="s">
        <v>871</v>
      </c>
      <c r="I2" s="200"/>
    </row>
    <row r="4" spans="2:14" ht="15.75" x14ac:dyDescent="0.25">
      <c r="B4" s="60" t="s">
        <v>27</v>
      </c>
      <c r="C4" s="60" t="s">
        <v>28</v>
      </c>
      <c r="D4" s="60" t="s">
        <v>29</v>
      </c>
      <c r="E4" s="60" t="s">
        <v>24</v>
      </c>
      <c r="F4" s="60" t="s">
        <v>25</v>
      </c>
      <c r="G4" s="62"/>
      <c r="H4" s="60" t="s">
        <v>28</v>
      </c>
      <c r="I4" s="63" t="s">
        <v>29</v>
      </c>
      <c r="J4" s="60" t="s">
        <v>24</v>
      </c>
      <c r="K4" s="60" t="s">
        <v>30</v>
      </c>
      <c r="N4" s="11" t="s">
        <v>464</v>
      </c>
    </row>
    <row r="5" spans="2:14" ht="15.75" x14ac:dyDescent="0.25">
      <c r="B5" s="57">
        <v>46113</v>
      </c>
      <c r="C5" s="60" t="e">
        <f>#REF!</f>
        <v>#REF!</v>
      </c>
      <c r="D5" s="60" t="e">
        <f>#REF!</f>
        <v>#REF!</v>
      </c>
      <c r="E5" s="60" t="e">
        <f>#REF!</f>
        <v>#REF!</v>
      </c>
      <c r="F5" s="60" t="e">
        <f>#REF!</f>
        <v>#REF!</v>
      </c>
      <c r="G5" s="62"/>
      <c r="H5" s="60" t="e">
        <f>VLOOKUP($N$4,#REF!,4,FALSE)</f>
        <v>#REF!</v>
      </c>
      <c r="I5" s="63" t="e">
        <f>VLOOKUP($N$5,#REF!,4,FALSE)</f>
        <v>#REF!</v>
      </c>
      <c r="J5" s="60" t="e">
        <f>VLOOKUP($N$6,#REF!,4,FALSE)</f>
        <v>#REF!</v>
      </c>
      <c r="K5" s="60" t="e" cm="1">
        <f t="array" ref="K5">#REF!</f>
        <v>#REF!</v>
      </c>
      <c r="N5" s="11" t="s">
        <v>465</v>
      </c>
    </row>
    <row r="6" spans="2:14" ht="15.75" x14ac:dyDescent="0.25">
      <c r="B6" s="57">
        <v>46116</v>
      </c>
      <c r="C6" s="60">
        <f>'2'!$C$14</f>
        <v>5630</v>
      </c>
      <c r="D6" s="60">
        <f>'2'!$E$15</f>
        <v>2013.7800000000002</v>
      </c>
      <c r="E6" s="60">
        <f>'2'!$G$15</f>
        <v>24011.5</v>
      </c>
      <c r="F6" s="60">
        <f>'2'!$L$16</f>
        <v>-173</v>
      </c>
      <c r="G6" s="62"/>
      <c r="H6" s="60">
        <f>VLOOKUP($N$4,'2'!B:L,4,FALSE)</f>
        <v>1543.8799999999999</v>
      </c>
      <c r="I6" s="63">
        <f>VLOOKUP($N$5,'2'!B:L,4,FALSE)</f>
        <v>7410.31</v>
      </c>
      <c r="J6" s="60">
        <f>VLOOKUP($N$6,'2'!B:L,4,FALSE)</f>
        <v>17281.260000000002</v>
      </c>
      <c r="K6" s="60" cm="1">
        <f t="array" ref="K6:L6">'2'!$K$7:$L$7</f>
        <v>0</v>
      </c>
      <c r="L6" s="58">
        <v>0</v>
      </c>
      <c r="N6" s="11" t="s">
        <v>466</v>
      </c>
    </row>
    <row r="7" spans="2:14" x14ac:dyDescent="0.25">
      <c r="B7" s="57">
        <v>46116</v>
      </c>
      <c r="C7" s="60">
        <f>'3'!$C$14</f>
        <v>9510</v>
      </c>
      <c r="D7" s="60">
        <f>'3'!$E$15</f>
        <v>1450.56</v>
      </c>
      <c r="E7" s="60">
        <f>'3'!$G$15</f>
        <v>10834.72</v>
      </c>
      <c r="F7" s="60">
        <f>'3'!$L$16</f>
        <v>206</v>
      </c>
      <c r="G7" s="62"/>
      <c r="H7" s="60">
        <f>VLOOKUP($N$4,'3'!B:L,4,FALSE)</f>
        <v>639.46</v>
      </c>
      <c r="I7" s="63">
        <f>VLOOKUP($N$5,'3'!B:L,4,FALSE)</f>
        <v>1300.58</v>
      </c>
      <c r="J7" s="60">
        <f>VLOOKUP($N$6,'3'!B:L,4,FALSE)</f>
        <v>26674.639999999996</v>
      </c>
      <c r="K7" s="60" cm="1">
        <f t="array" ref="K7:L7">'3'!$K$7:$L$7</f>
        <v>0</v>
      </c>
      <c r="L7" s="58">
        <v>0</v>
      </c>
    </row>
    <row r="8" spans="2:14" x14ac:dyDescent="0.25">
      <c r="B8" s="57">
        <v>46116</v>
      </c>
      <c r="C8" s="60">
        <f>'4'!$C$14</f>
        <v>13470</v>
      </c>
      <c r="D8" s="60">
        <f>'4'!$E$15</f>
        <v>1608.5900000000001</v>
      </c>
      <c r="E8" s="60">
        <f>'4'!$G$15</f>
        <v>25778.66</v>
      </c>
      <c r="F8" s="60">
        <f>'4'!$L$16</f>
        <v>-1006</v>
      </c>
      <c r="G8" s="62"/>
      <c r="H8" s="60">
        <f>VLOOKUP($N$4,'4'!B:L,4,FALSE)</f>
        <v>0</v>
      </c>
      <c r="I8" s="63">
        <f>VLOOKUP($N$5,'4'!B:L,4,FALSE)</f>
        <v>0</v>
      </c>
      <c r="J8" s="60">
        <f>VLOOKUP($N$6,'4'!B:L,4,FALSE)</f>
        <v>0</v>
      </c>
      <c r="K8" s="60" cm="1">
        <f t="array" ref="K8:L8">'4'!$K$7:$L$7</f>
        <v>0</v>
      </c>
      <c r="L8" s="58">
        <v>0</v>
      </c>
    </row>
    <row r="9" spans="2:14" x14ac:dyDescent="0.25">
      <c r="B9" s="57">
        <v>46117</v>
      </c>
      <c r="C9" s="60">
        <f>'5'!$C$14</f>
        <v>0</v>
      </c>
      <c r="D9" s="60">
        <f>'5'!$E$15</f>
        <v>0</v>
      </c>
      <c r="E9" s="60">
        <f>'5'!$G$15</f>
        <v>0</v>
      </c>
      <c r="F9" s="60">
        <f>'5'!$L$16</f>
        <v>596</v>
      </c>
      <c r="G9" s="62"/>
      <c r="H9" s="60">
        <f>VLOOKUP($N$4,'5'!B:L,4,FALSE)</f>
        <v>0</v>
      </c>
      <c r="I9" s="63">
        <f>VLOOKUP($N$5,'5'!B:L,4,FALSE)</f>
        <v>0</v>
      </c>
      <c r="J9" s="60">
        <f>VLOOKUP($N$6,'5'!B:L,4,FALSE)</f>
        <v>0</v>
      </c>
      <c r="K9" s="60" cm="1">
        <f t="array" ref="K9:L9">'5'!$K$7:$L$7</f>
        <v>0</v>
      </c>
      <c r="L9" s="58">
        <v>0</v>
      </c>
    </row>
    <row r="10" spans="2:14" x14ac:dyDescent="0.25">
      <c r="B10" s="57">
        <v>46118</v>
      </c>
      <c r="C10" s="60">
        <f>'6'!$C$14</f>
        <v>10440</v>
      </c>
      <c r="D10" s="60">
        <f>'6'!$E$15</f>
        <v>1400.18</v>
      </c>
      <c r="E10" s="60">
        <f>'6'!$G$15</f>
        <v>22371.77</v>
      </c>
      <c r="F10" s="60">
        <f>'6'!$L$16</f>
        <v>-656.5</v>
      </c>
      <c r="G10" s="62"/>
      <c r="H10" s="60">
        <f>VLOOKUP($N$4,'6'!B:L,4,FALSE)</f>
        <v>0</v>
      </c>
      <c r="I10" s="63">
        <f>VLOOKUP($N$5,'6'!B:L,4,FALSE)</f>
        <v>0</v>
      </c>
      <c r="J10" s="60">
        <f>VLOOKUP($N$6,'6'!B:L,4,FALSE)</f>
        <v>0</v>
      </c>
      <c r="K10" s="60" cm="1">
        <f t="array" ref="K10:L10">'6'!$K$7:$L$7</f>
        <v>0</v>
      </c>
      <c r="L10" s="58">
        <v>0</v>
      </c>
    </row>
    <row r="11" spans="2:14" x14ac:dyDescent="0.25">
      <c r="B11" s="57">
        <v>46119</v>
      </c>
      <c r="C11" s="60">
        <f>'7'!$C$14</f>
        <v>6200</v>
      </c>
      <c r="D11" s="60">
        <f>'7'!$E$15</f>
        <v>3797.44</v>
      </c>
      <c r="E11" s="60">
        <f>'7'!$G$15</f>
        <v>26103.54</v>
      </c>
      <c r="F11" s="60">
        <f>'7'!$L$16</f>
        <v>-902.85</v>
      </c>
      <c r="G11" s="62"/>
      <c r="H11" s="60">
        <f>VLOOKUP($N$4,'7'!B:L,4,FALSE)</f>
        <v>1076.3499999999999</v>
      </c>
      <c r="I11" s="63">
        <f>VLOOKUP($N$5,'7'!B:L,4,FALSE)</f>
        <v>9794.8499999999985</v>
      </c>
      <c r="J11" s="60">
        <f>VLOOKUP($N$6,'7'!B:L,4,FALSE)</f>
        <v>1172.44</v>
      </c>
      <c r="K11" s="60" cm="1">
        <f t="array" ref="K11:L11">'7'!$K$7:$L$7</f>
        <v>18382.790000000005</v>
      </c>
      <c r="L11" s="58">
        <v>0</v>
      </c>
    </row>
    <row r="12" spans="2:14" x14ac:dyDescent="0.25">
      <c r="B12" s="57">
        <v>46120</v>
      </c>
      <c r="C12" s="60" t="e">
        <f>#REF!</f>
        <v>#REF!</v>
      </c>
      <c r="D12" s="60" t="e">
        <f>#REF!</f>
        <v>#REF!</v>
      </c>
      <c r="E12" s="60" t="e">
        <f>#REF!</f>
        <v>#REF!</v>
      </c>
      <c r="F12" s="60" t="e">
        <f>#REF!</f>
        <v>#REF!</v>
      </c>
      <c r="G12" s="62"/>
      <c r="H12" s="60" t="e">
        <f>VLOOKUP($N$4,#REF!,4,FALSE)</f>
        <v>#REF!</v>
      </c>
      <c r="I12" s="63" t="e">
        <f>VLOOKUP($N$5,#REF!,4,FALSE)</f>
        <v>#REF!</v>
      </c>
      <c r="J12" s="60" t="e">
        <f>VLOOKUP($N$6,#REF!,4,FALSE)</f>
        <v>#REF!</v>
      </c>
      <c r="K12" s="60" t="e" cm="1">
        <f t="array" ref="K12">#REF!</f>
        <v>#REF!</v>
      </c>
    </row>
    <row r="13" spans="2:14" x14ac:dyDescent="0.25">
      <c r="B13" s="57">
        <v>46121</v>
      </c>
      <c r="C13" s="60">
        <f>'8'!$C$14</f>
        <v>8715</v>
      </c>
      <c r="D13" s="60">
        <f>'8'!$E$15</f>
        <v>1235.5</v>
      </c>
      <c r="E13" s="60">
        <f>'8'!$G$15</f>
        <v>24660.95</v>
      </c>
      <c r="F13" s="60">
        <f>'8'!$L$16*-1</f>
        <v>413.6</v>
      </c>
      <c r="G13" s="62"/>
      <c r="H13" s="60">
        <f>VLOOKUP($N$4,'8'!B:L,4,FALSE)</f>
        <v>1491.6</v>
      </c>
      <c r="I13" s="63">
        <f>VLOOKUP($N$5,'8'!B:L,4,FALSE)</f>
        <v>3537.3500000000004</v>
      </c>
      <c r="J13" s="60">
        <f>VLOOKUP($N$6,'8'!B:L,4,FALSE)</f>
        <v>0</v>
      </c>
      <c r="K13" s="60" cm="1">
        <f t="array" ref="K13:L13">'8'!$K$7:$L$7</f>
        <v>0</v>
      </c>
      <c r="L13" s="58">
        <v>0</v>
      </c>
    </row>
    <row r="14" spans="2:14" x14ac:dyDescent="0.25">
      <c r="B14" s="57">
        <v>46122</v>
      </c>
      <c r="C14" s="60">
        <f>'10'!$C$14</f>
        <v>6240</v>
      </c>
      <c r="D14" s="60">
        <f>'10'!$E$15</f>
        <v>309.49</v>
      </c>
      <c r="E14" s="60">
        <f>'10'!$G$15</f>
        <v>15955.55</v>
      </c>
      <c r="F14" s="60">
        <f>'10'!$L$16</f>
        <v>-192</v>
      </c>
      <c r="G14" s="62"/>
      <c r="H14" s="60">
        <f>VLOOKUP($N$4,'10'!B:L,4,FALSE)</f>
        <v>477.70000000000005</v>
      </c>
      <c r="I14" s="63">
        <f>VLOOKUP($N$5,'10'!B:L,4,FALSE)</f>
        <v>6413.88</v>
      </c>
      <c r="J14" s="60">
        <f>VLOOKUP($N$6,'10'!B:L,4,FALSE)</f>
        <v>10182.48</v>
      </c>
      <c r="K14" s="60" cm="1">
        <f t="array" ref="K14:L14">'10'!$K$7:$L$7</f>
        <v>0</v>
      </c>
      <c r="L14" s="58">
        <v>0</v>
      </c>
    </row>
    <row r="15" spans="2:14" x14ac:dyDescent="0.25">
      <c r="B15" s="57">
        <v>46123</v>
      </c>
      <c r="C15" s="60" t="e">
        <f>'[2]04'!$C$14</f>
        <v>#REF!</v>
      </c>
      <c r="D15" s="60">
        <f>'11'!$E$15</f>
        <v>1582.9499999999998</v>
      </c>
      <c r="E15" s="60">
        <f>'11'!$G$15</f>
        <v>22365.06</v>
      </c>
      <c r="F15" s="60">
        <f>'11'!$L$16</f>
        <v>-472</v>
      </c>
      <c r="G15" s="62"/>
      <c r="H15" s="60">
        <f>VLOOKUP($N$4,'11'!B:L,4,FALSE)</f>
        <v>0</v>
      </c>
      <c r="I15" s="63">
        <f>VLOOKUP($N$5,'11'!B:L,4,FALSE)</f>
        <v>0</v>
      </c>
      <c r="J15" s="60">
        <f>VLOOKUP($N$6,'11'!B:L,4,FALSE)</f>
        <v>0</v>
      </c>
      <c r="K15" s="60" cm="1">
        <f t="array" ref="K15:L15">'11'!$K$7:$L$7</f>
        <v>0</v>
      </c>
      <c r="L15" s="58">
        <v>0</v>
      </c>
    </row>
    <row r="16" spans="2:14" x14ac:dyDescent="0.25">
      <c r="B16" s="57">
        <v>46065</v>
      </c>
      <c r="C16" s="64" t="e">
        <f>#REF!</f>
        <v>#REF!</v>
      </c>
      <c r="D16" s="60" t="e">
        <f>#REF!</f>
        <v>#REF!</v>
      </c>
      <c r="E16" s="60" t="e">
        <f>#REF!</f>
        <v>#REF!</v>
      </c>
      <c r="F16" s="60" t="e">
        <f>#REF!</f>
        <v>#REF!</v>
      </c>
      <c r="G16" s="62"/>
      <c r="H16" s="60" t="e">
        <f>VLOOKUP($N$4,#REF!,4,FALSE)</f>
        <v>#REF!</v>
      </c>
      <c r="I16" s="63" t="e">
        <f>VLOOKUP($N$5,#REF!,4,FALSE)</f>
        <v>#REF!</v>
      </c>
      <c r="J16" s="60" t="e">
        <f>VLOOKUP($N$6,#REF!,4,FALSE)</f>
        <v>#REF!</v>
      </c>
      <c r="K16" s="60" t="e" cm="1">
        <f t="array" ref="K16">#REF!</f>
        <v>#REF!</v>
      </c>
    </row>
    <row r="17" spans="2:12" x14ac:dyDescent="0.25">
      <c r="B17" s="57">
        <v>46066</v>
      </c>
      <c r="C17" s="60">
        <f>'13'!$C$15</f>
        <v>374</v>
      </c>
      <c r="D17" s="60">
        <f>'13'!$E$16</f>
        <v>0</v>
      </c>
      <c r="E17" s="60">
        <f>'13'!$G$16</f>
        <v>0</v>
      </c>
      <c r="F17" s="60">
        <f>'13'!$L$17</f>
        <v>0</v>
      </c>
      <c r="G17" s="62"/>
      <c r="H17" s="60">
        <f>VLOOKUP($N$4,'13'!B:L,4,FALSE)</f>
        <v>1734.2199999999998</v>
      </c>
      <c r="I17" s="63">
        <f>VLOOKUP($N$5,'13'!B:L,4,FALSE)</f>
        <v>4054.5399999999995</v>
      </c>
      <c r="J17" s="60">
        <f>VLOOKUP($N$6,'13'!B:L,4,FALSE)</f>
        <v>0</v>
      </c>
      <c r="K17" s="60" cm="1">
        <f t="array" ref="K17:L17">'13'!$K$7:$L$7</f>
        <v>293540.43000000005</v>
      </c>
      <c r="L17" s="58">
        <v>0</v>
      </c>
    </row>
    <row r="18" spans="2:12" x14ac:dyDescent="0.25">
      <c r="B18" s="57">
        <v>46067</v>
      </c>
      <c r="C18" s="60">
        <f>'14'!$C$17</f>
        <v>10080</v>
      </c>
      <c r="D18" s="60">
        <f>'14'!$E$18</f>
        <v>275.87</v>
      </c>
      <c r="E18" s="60">
        <f>'14'!$G$18</f>
        <v>18118.330000000002</v>
      </c>
      <c r="F18" s="60">
        <f>'14'!$L$19</f>
        <v>-1804</v>
      </c>
      <c r="G18" s="62"/>
      <c r="H18" s="60">
        <f>VLOOKUP($N$4,'14'!B:L,4,FALSE)</f>
        <v>94.53</v>
      </c>
      <c r="I18" s="63">
        <f>VLOOKUP($N$5,'14'!B:L,4,FALSE)</f>
        <v>2048.1400000000003</v>
      </c>
      <c r="J18" s="60">
        <f>VLOOKUP($N$6,'14'!B:L,4,FALSE)</f>
        <v>0</v>
      </c>
      <c r="K18" s="60" cm="1">
        <f t="array" ref="K18:L18">'14'!$K$7:$L$7</f>
        <v>244293.15999999995</v>
      </c>
      <c r="L18" s="58">
        <v>0</v>
      </c>
    </row>
    <row r="19" spans="2:12" x14ac:dyDescent="0.25">
      <c r="B19" s="57">
        <v>46068</v>
      </c>
      <c r="C19" s="60" t="e">
        <f>#REF!</f>
        <v>#REF!</v>
      </c>
      <c r="D19" s="60" t="e">
        <f>#REF!</f>
        <v>#REF!</v>
      </c>
      <c r="E19" s="60" t="e">
        <f>#REF!</f>
        <v>#REF!</v>
      </c>
      <c r="F19" s="60" t="e">
        <f>#REF!</f>
        <v>#REF!</v>
      </c>
      <c r="G19" s="62"/>
      <c r="H19" s="60" t="e">
        <f>VLOOKUP($N$4,#REF!,4,FALSE)</f>
        <v>#REF!</v>
      </c>
      <c r="I19" s="63" t="e">
        <f>VLOOKUP($N$5,#REF!,4,FALSE)</f>
        <v>#REF!</v>
      </c>
      <c r="J19" s="60" t="e">
        <f>VLOOKUP($N$6,#REF!,4,FALSE)</f>
        <v>#REF!</v>
      </c>
      <c r="K19" s="60" t="e" cm="1">
        <f t="array" ref="K19">#REF!</f>
        <v>#REF!</v>
      </c>
    </row>
    <row r="20" spans="2:12" x14ac:dyDescent="0.25">
      <c r="B20" s="57">
        <v>46069</v>
      </c>
      <c r="C20" s="60">
        <f>'15'!$C$14</f>
        <v>5520</v>
      </c>
      <c r="D20" s="60">
        <f>'15'!$E$15</f>
        <v>1094.48</v>
      </c>
      <c r="E20" s="60">
        <f>'15'!$G$15</f>
        <v>19899.16</v>
      </c>
      <c r="F20" s="60">
        <f>'15'!$L$16*-1</f>
        <v>-37.200000000000003</v>
      </c>
      <c r="G20" s="62"/>
      <c r="H20" s="60">
        <f>VLOOKUP($N$4,'15'!B:L,4,FALSE)</f>
        <v>1385.92</v>
      </c>
      <c r="I20" s="63">
        <f>VLOOKUP($N$5,'15'!B:L,4,FALSE)</f>
        <v>3371.73</v>
      </c>
      <c r="J20" s="60">
        <f>VLOOKUP($N$6,'15'!B:L,4,FALSE)</f>
        <v>44636.799999999988</v>
      </c>
      <c r="K20" s="60" cm="1">
        <f t="array" ref="K20:L20">'15'!$K$7:$L$7</f>
        <v>354933.51999999996</v>
      </c>
      <c r="L20" s="58">
        <v>0</v>
      </c>
    </row>
    <row r="21" spans="2:12" x14ac:dyDescent="0.25">
      <c r="B21" s="57">
        <v>46070</v>
      </c>
      <c r="C21" s="60">
        <f>'17'!$C$14</f>
        <v>3725</v>
      </c>
      <c r="D21" s="60">
        <f>'17'!$E$15</f>
        <v>559.87</v>
      </c>
      <c r="E21" s="60">
        <f>'17'!$G$15</f>
        <v>16803.8</v>
      </c>
      <c r="F21" s="60">
        <f>'17'!$L$16</f>
        <v>-1191</v>
      </c>
      <c r="G21" s="62"/>
      <c r="H21" s="60">
        <f>VLOOKUP($N$4,'17'!B:L,4,FALSE)</f>
        <v>9.24</v>
      </c>
      <c r="I21" s="63">
        <f>VLOOKUP($N$5,'17'!B:L,4,FALSE)</f>
        <v>13513.400000000001</v>
      </c>
      <c r="J21" s="60">
        <f>VLOOKUP($N$6,'17'!B:L,4,FALSE)</f>
        <v>0</v>
      </c>
      <c r="K21" s="60" cm="1">
        <f t="array" ref="K21:L21">'17'!$K$7:$L$7</f>
        <v>0</v>
      </c>
      <c r="L21" s="58">
        <v>0</v>
      </c>
    </row>
    <row r="22" spans="2:12" x14ac:dyDescent="0.25">
      <c r="B22" s="57">
        <v>46071</v>
      </c>
      <c r="C22" s="60">
        <f>'18'!$C$17</f>
        <v>0</v>
      </c>
      <c r="D22" s="60">
        <f>'18'!$E$18</f>
        <v>0</v>
      </c>
      <c r="E22" s="60">
        <f>'18'!$G$18</f>
        <v>0</v>
      </c>
      <c r="F22" s="60" t="str">
        <f>'18'!$L$19</f>
        <v>SAP</v>
      </c>
      <c r="G22" s="62"/>
      <c r="H22" s="60">
        <f>VLOOKUP($N$4,'18'!B:L,4,FALSE)</f>
        <v>0</v>
      </c>
      <c r="I22" s="63">
        <f>VLOOKUP($N$5,'18'!B:L,4,FALSE)</f>
        <v>0</v>
      </c>
      <c r="J22" s="60">
        <f>VLOOKUP($N$6,'18'!B:L,4,FALSE)</f>
        <v>0</v>
      </c>
      <c r="K22" s="60" cm="1">
        <f t="array" ref="K22:L22">'18'!$K$7:$L$7</f>
        <v>0</v>
      </c>
      <c r="L22" s="58">
        <v>0</v>
      </c>
    </row>
    <row r="23" spans="2:12" x14ac:dyDescent="0.25">
      <c r="B23" s="57">
        <v>46072</v>
      </c>
      <c r="C23" s="60">
        <f>'19'!$C$14</f>
        <v>0</v>
      </c>
      <c r="D23" s="60">
        <f>'19'!$E$15</f>
        <v>0</v>
      </c>
      <c r="E23" s="60">
        <f>'19'!$G$15</f>
        <v>0</v>
      </c>
      <c r="F23" s="60">
        <f>'19'!$L$16</f>
        <v>253</v>
      </c>
      <c r="G23" s="62"/>
      <c r="H23" s="60">
        <f>VLOOKUP($N$4,'19'!B:L,4,FALSE)</f>
        <v>0</v>
      </c>
      <c r="I23" s="63">
        <f>VLOOKUP($N$5,'19'!B:L,4,FALSE)</f>
        <v>0</v>
      </c>
      <c r="J23" s="60">
        <f>VLOOKUP($N$6,'19'!B:L,4,FALSE)</f>
        <v>0</v>
      </c>
      <c r="K23" s="60" cm="1">
        <f t="array" ref="K23:L23">'19'!$K$7:$L$7</f>
        <v>0</v>
      </c>
      <c r="L23" s="58">
        <v>0</v>
      </c>
    </row>
    <row r="24" spans="2:12" x14ac:dyDescent="0.25">
      <c r="B24" s="57">
        <v>46073</v>
      </c>
      <c r="C24" s="60">
        <f>'20'!$C$15</f>
        <v>7275</v>
      </c>
      <c r="D24" s="60">
        <f>'20'!$E$16</f>
        <v>1558.08</v>
      </c>
      <c r="E24" s="60">
        <f>'20'!$G$16</f>
        <v>19916.27</v>
      </c>
      <c r="F24" s="60">
        <f>'20'!$L$17</f>
        <v>-1546</v>
      </c>
      <c r="G24" s="62"/>
      <c r="H24" s="60">
        <f>VLOOKUP($N$4,'20'!B:L,4,FALSE)</f>
        <v>2980.75</v>
      </c>
      <c r="I24" s="63">
        <f>VLOOKUP($N$5,'20'!B:L,4,FALSE)</f>
        <v>2575.2200000000003</v>
      </c>
      <c r="J24" s="60">
        <f>VLOOKUP($N$6,'20'!B:L,4,FALSE)</f>
        <v>6151.93</v>
      </c>
      <c r="K24" s="60" cm="1">
        <f t="array" ref="K24:L24">'20'!$K$7:$L$7</f>
        <v>269425.2900000001</v>
      </c>
      <c r="L24" s="58">
        <v>0</v>
      </c>
    </row>
    <row r="25" spans="2:12" x14ac:dyDescent="0.25">
      <c r="B25" s="57">
        <v>46074</v>
      </c>
      <c r="C25" s="60">
        <f>'21'!$C$17</f>
        <v>5805</v>
      </c>
      <c r="D25" s="60">
        <f>'21'!$E$18</f>
        <v>674.07999999999993</v>
      </c>
      <c r="E25" s="60">
        <f>'21'!$G$18</f>
        <v>23821.13</v>
      </c>
      <c r="F25" s="60">
        <f>'21'!$L$19*-1</f>
        <v>903</v>
      </c>
      <c r="G25" s="62"/>
      <c r="H25" s="60">
        <f>VLOOKUP($N$4,'21'!B:L,4,FALSE)</f>
        <v>50</v>
      </c>
      <c r="I25" s="63">
        <f>VLOOKUP($N$5,'21'!B:L,4,FALSE)</f>
        <v>4025.33</v>
      </c>
      <c r="J25" s="60">
        <f>VLOOKUP($N$6,'21'!B:L,4,FALSE)</f>
        <v>9360.4300000000021</v>
      </c>
      <c r="K25" s="60" cm="1">
        <f t="array" ref="K25:L25">'21'!$K$7:$L$7</f>
        <v>0</v>
      </c>
      <c r="L25" s="58">
        <v>0</v>
      </c>
    </row>
    <row r="26" spans="2:12" x14ac:dyDescent="0.25">
      <c r="B26" s="57">
        <v>46075</v>
      </c>
      <c r="C26" s="60" t="e">
        <f>#REF!</f>
        <v>#REF!</v>
      </c>
      <c r="D26" s="60" t="e">
        <f>#REF!</f>
        <v>#REF!</v>
      </c>
      <c r="E26" s="60" t="e">
        <f>#REF!</f>
        <v>#REF!</v>
      </c>
      <c r="F26" s="60" t="e">
        <f>#REF!</f>
        <v>#REF!</v>
      </c>
      <c r="G26" s="62"/>
      <c r="H26" s="60" t="e">
        <f>VLOOKUP($N$4,#REF!,4,FALSE)</f>
        <v>#REF!</v>
      </c>
      <c r="I26" s="63" t="e">
        <f>VLOOKUP($N$5,#REF!,4,FALSE)</f>
        <v>#REF!</v>
      </c>
      <c r="J26" s="60" t="e">
        <f>VLOOKUP($N$6,#REF!,4,FALSE)</f>
        <v>#REF!</v>
      </c>
      <c r="K26" s="60" t="e" cm="1">
        <f t="array" ref="K26">#REF!</f>
        <v>#REF!</v>
      </c>
    </row>
    <row r="27" spans="2:12" x14ac:dyDescent="0.25">
      <c r="B27" s="57">
        <v>46076</v>
      </c>
      <c r="C27" s="60">
        <f>'23'!$C$14</f>
        <v>6240</v>
      </c>
      <c r="D27" s="60">
        <f>'23'!$E$15</f>
        <v>260.52</v>
      </c>
      <c r="E27" s="60">
        <f>'23'!$G$15</f>
        <v>17024.650000000001</v>
      </c>
      <c r="F27" s="60">
        <f>'23'!$L$16*-1</f>
        <v>633</v>
      </c>
      <c r="G27" s="62"/>
      <c r="H27" s="60">
        <f>VLOOKUP($N$4,'23'!B:L,4,FALSE)</f>
        <v>1630.3400000000001</v>
      </c>
      <c r="I27" s="63">
        <f>VLOOKUP($N$5,'23'!B:L,4,FALSE)</f>
        <v>4013.64</v>
      </c>
      <c r="J27" s="60">
        <f>VLOOKUP($N$6,'23'!B:L,4,FALSE)</f>
        <v>20621.799999999996</v>
      </c>
      <c r="K27" s="60" cm="1">
        <f t="array" ref="K27:L27">'23'!$K$7:$L$7</f>
        <v>0</v>
      </c>
      <c r="L27" s="58">
        <v>0</v>
      </c>
    </row>
    <row r="28" spans="2:12" x14ac:dyDescent="0.25">
      <c r="B28" s="57">
        <v>46077</v>
      </c>
      <c r="C28" s="60">
        <f>'24'!$C$14</f>
        <v>4850</v>
      </c>
      <c r="D28" s="60">
        <f>'24'!$E$15</f>
        <v>1472.08</v>
      </c>
      <c r="E28" s="60">
        <f>'24'!$G$15</f>
        <v>18456.89</v>
      </c>
      <c r="F28" s="60">
        <f>'24'!$L$16</f>
        <v>-173</v>
      </c>
      <c r="G28" s="62"/>
      <c r="H28" s="60">
        <f>VLOOKUP($N$4,'24'!B:L,4,FALSE)</f>
        <v>2643.09</v>
      </c>
      <c r="I28" s="63">
        <f>VLOOKUP($N$5,'24'!B:L,4,FALSE)</f>
        <v>3104.06</v>
      </c>
      <c r="J28" s="60">
        <f>VLOOKUP($N$6,'24'!B:L,4,FALSE)</f>
        <v>2188.52</v>
      </c>
      <c r="K28" s="60" cm="1">
        <f t="array" ref="K28:L28">'24'!$K$7:$L$7</f>
        <v>0</v>
      </c>
      <c r="L28" s="58">
        <v>0</v>
      </c>
    </row>
    <row r="29" spans="2:12" x14ac:dyDescent="0.25">
      <c r="B29" s="57">
        <v>46078</v>
      </c>
      <c r="C29" s="60">
        <f>'25'!$C$14</f>
        <v>11910</v>
      </c>
      <c r="D29" s="60">
        <f>'25'!$E$15</f>
        <v>1383.6799999999998</v>
      </c>
      <c r="E29" s="60">
        <f>'25'!$G$15</f>
        <v>26970.91</v>
      </c>
      <c r="F29" s="60">
        <f>'25'!$L$16</f>
        <v>32</v>
      </c>
      <c r="G29" s="62"/>
      <c r="H29" s="60">
        <f>VLOOKUP($N$4,'25'!B:L,4,FALSE)</f>
        <v>46.75</v>
      </c>
      <c r="I29" s="63">
        <f>VLOOKUP($N$5,'25'!B:L,4,FALSE)</f>
        <v>0</v>
      </c>
      <c r="J29" s="60">
        <f>VLOOKUP($N$6,'25'!B:L,4,FALSE)</f>
        <v>0</v>
      </c>
      <c r="K29" s="60" cm="1">
        <f t="array" ref="K29:L29">'25'!$K$7:$L$7</f>
        <v>0</v>
      </c>
      <c r="L29" s="58">
        <v>0</v>
      </c>
    </row>
    <row r="30" spans="2:12" x14ac:dyDescent="0.25">
      <c r="B30" s="57">
        <v>46079</v>
      </c>
      <c r="C30" s="60">
        <f>'26'!$C$14</f>
        <v>0</v>
      </c>
      <c r="D30" s="60">
        <f>'26'!$E$15</f>
        <v>0</v>
      </c>
      <c r="E30" s="60">
        <f>'26'!$G$15</f>
        <v>0</v>
      </c>
      <c r="F30" s="60">
        <f>'26'!$L$16</f>
        <v>241</v>
      </c>
      <c r="G30" s="62"/>
      <c r="H30" s="60">
        <f>VLOOKUP($N$4,'26'!B:L,4,FALSE)</f>
        <v>0</v>
      </c>
      <c r="I30" s="63">
        <f>VLOOKUP($N$5,'26'!B:L,4,FALSE)</f>
        <v>0</v>
      </c>
      <c r="J30" s="60">
        <f>VLOOKUP($N$6,'26'!B:L,4,FALSE)</f>
        <v>0</v>
      </c>
      <c r="K30" s="60" cm="1">
        <f t="array" ref="K30:L30">'26'!$K$7:$L$7</f>
        <v>0</v>
      </c>
      <c r="L30" s="58">
        <v>0</v>
      </c>
    </row>
    <row r="31" spans="2:12" x14ac:dyDescent="0.25">
      <c r="B31" s="57">
        <v>46080</v>
      </c>
      <c r="C31" s="60">
        <f>'27'!$C$14</f>
        <v>7780</v>
      </c>
      <c r="D31" s="60">
        <f>'27'!$E$15</f>
        <v>2459.86</v>
      </c>
      <c r="E31" s="60">
        <f>'27'!$G$15</f>
        <v>19873.580000000002</v>
      </c>
      <c r="F31" s="60">
        <f>'27'!$L$16</f>
        <v>-1210</v>
      </c>
      <c r="G31" s="62"/>
      <c r="H31" s="60">
        <f>VLOOKUP($N$4,'27'!B:L,4,FALSE)</f>
        <v>61.56</v>
      </c>
      <c r="I31" s="63">
        <f>VLOOKUP($N$5,'27'!B:L,4,FALSE)</f>
        <v>3234.64</v>
      </c>
      <c r="J31" s="60">
        <f>VLOOKUP($N$6,'27'!B:L,4,FALSE)</f>
        <v>3587.95</v>
      </c>
      <c r="K31" s="60" cm="1">
        <f t="array" ref="K31:L31">'27'!$K$7:$L$7</f>
        <v>0</v>
      </c>
      <c r="L31" s="58">
        <v>0</v>
      </c>
    </row>
    <row r="32" spans="2:12" x14ac:dyDescent="0.25">
      <c r="B32" s="57">
        <v>46081</v>
      </c>
      <c r="C32" s="60">
        <f>'28'!$C$14</f>
        <v>3580</v>
      </c>
      <c r="D32" s="60">
        <f>'28'!$E$15</f>
        <v>3606.03</v>
      </c>
      <c r="E32" s="60">
        <f>'28'!$G$15</f>
        <v>18206.48</v>
      </c>
      <c r="F32" s="60">
        <f>'28'!$L$16</f>
        <v>-322.8</v>
      </c>
      <c r="G32" s="62"/>
      <c r="H32" s="60">
        <f>VLOOKUP($N$4,'28'!B:L,4,FALSE)</f>
        <v>11617.42</v>
      </c>
      <c r="I32" s="63">
        <f>VLOOKUP($N$5,'28'!B:L,4,FALSE)</f>
        <v>3825.55</v>
      </c>
      <c r="J32" s="60">
        <f>VLOOKUP($N$6,'28'!B:L,4,FALSE)</f>
        <v>5820.11</v>
      </c>
      <c r="K32" s="60" cm="1">
        <f t="array" ref="K32:L32">'28'!$K$7:$L$7</f>
        <v>251048.81999999995</v>
      </c>
      <c r="L32" s="58">
        <v>0</v>
      </c>
    </row>
  </sheetData>
  <mergeCells count="2">
    <mergeCell ref="C2:D2"/>
    <mergeCell ref="H2:I2"/>
  </mergeCells>
  <conditionalFormatting sqref="N4:N6">
    <cfRule type="cellIs" dxfId="0" priority="1" stopIfTrue="1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empty sheet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11</vt:lpstr>
      <vt:lpstr>10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TOTAL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2026-05-01T16:29:28Z</dcterms:modified>
  <cp:category/>
  <cp:contentStatus/>
</cp:coreProperties>
</file>